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Antal fynd</t>
        </is>
      </c>
      <c r="U1" t="inlineStr">
        <is>
          <t>Artnamn</t>
        </is>
      </c>
      <c r="V1" t="inlineStr">
        <is>
          <t>Artfyndslänk</t>
        </is>
      </c>
      <c r="W1" t="inlineStr">
        <is>
          <t>Kartlänk</t>
        </is>
      </c>
      <c r="X1" t="inlineStr">
        <is>
          <t>Knärotsbuffertlänk</t>
        </is>
      </c>
      <c r="Y1" t="inlineStr">
        <is>
          <t>Klagomålslänk</t>
        </is>
      </c>
      <c r="Z1" t="inlineStr">
        <is>
          <t>Klagomålsmaillänk</t>
        </is>
      </c>
      <c r="AA1" t="inlineStr">
        <is>
          <t>Tillsynsbegäranslänk</t>
        </is>
      </c>
      <c r="AB1" t="inlineStr">
        <is>
          <t>Tillsynsbegäransmaillänk</t>
        </is>
      </c>
      <c r="AC1" t="inlineStr">
        <is>
          <t>Fågeltillsynsbegäranslänk</t>
        </is>
      </c>
    </row>
    <row r="2" ht="15" customHeight="1">
      <c r="A2" t="inlineStr">
        <is>
          <t>Tokberget</t>
        </is>
      </c>
      <c r="B2" t="inlineStr">
        <is>
          <t>avverkningsanmälan</t>
        </is>
      </c>
      <c r="D2" s="1" t="n">
        <v>46222</v>
      </c>
      <c r="E2" s="1" t="n">
        <v>46222</v>
      </c>
      <c r="F2" t="inlineStr">
        <is>
          <t>Jämtlands län</t>
        </is>
      </c>
      <c r="G2" t="inlineStr">
        <is>
          <t>Berg</t>
        </is>
      </c>
      <c r="I2" t="n">
        <v>342.2</v>
      </c>
      <c r="J2" t="n">
        <v>18</v>
      </c>
      <c r="K2" t="n">
        <v>29</v>
      </c>
      <c r="L2" t="n">
        <v>43</v>
      </c>
      <c r="M2" t="n">
        <v>14</v>
      </c>
      <c r="N2" t="n">
        <v>2</v>
      </c>
      <c r="O2" t="n">
        <v>0</v>
      </c>
      <c r="P2" t="n">
        <v>0</v>
      </c>
      <c r="Q2" t="n">
        <v>59</v>
      </c>
      <c r="R2" t="n">
        <v>16</v>
      </c>
      <c r="S2" t="n">
        <v>97</v>
      </c>
      <c r="T2" t="n">
        <v>1300</v>
      </c>
      <c r="U2" s="2" t="inlineStr">
        <is>
          <t>Urskogsporing
Urskogsticka
Allékantlav
Doftticka
Fläckporing
Garnlav
Gräddporing
Gränsticka
Knärot
Laxgröppa
Läderlappslav
Mjölig dropplav
Rödskaftad svartspik
Skuggnål
Sprickporing
Ulltickeporing
Blanksvart spiklav
Blågrå svartspik
Brunpudrad nållav
Doftskinn
Dropptaggsvamp
Dvärgbägarlav
Gammelgransskål
Grå blåbärsfältmätare
Harticka
Hornvaxskinn
Kattfotslav
Knottrig blåslav
Kolflarnlav
Kortskaftad ärgspik
Kötticka
Lavskrika
Liten svartspik
Luddfingersvamp
Lunglav
Mörk kolflarnlav
Nordlig nållav
Nordtagging
Rosa skärelav
Rosenticka
Rynkskinn
Skrovellav
Skuggblåslav
Stiftgelélav
Stjärntagging
Storgröe
Tallticka
Talltita
Tretåig hackspett
Ullticka
Vaddporing
Vedflamlav
Vedskivlav
Vedtrappmossa
Violettgrå tagellav
Violmussling
Vitfläckig guldvinge
Vitgrynig nållav
Vitplätt
Barkkornlav
Björksplintborre
Blodticka
Bollvitmossa
Bronshjon
Bårdlav
Dvärgtufs
Grönkulla
Grönpyrola
Gulnål
Gytterlav
Kambräken
Korallblylav
Korallrot
Källmossor
Källpraktmossa
Luddlav
Nordlig tuffmossa
Norrlandslav
Nästlav
Plattlummer
Skinnlav
Spindelblomster
Stor aspticka
Stuplav
Trådticka
Vedticka
Vågbandad barkbock
Ögonpyrola
Järpe
Mattlummer
Spillkråka
Tjäder
Kungsfågel
Orre
Huggorm
Fläcknycklar
Revlummer</t>
        </is>
      </c>
      <c r="V2">
        <f>HYPERLINK("https://klasma.github.io/Logging_FORSKNINGSRESAN_2023/artfynd/Tokberget artfynd.xlsx", "Tokberget")</f>
        <v/>
      </c>
      <c r="W2">
        <f>HYPERLINK("https://klasma.github.io/Logging_FORSKNINGSRESAN_2023/kartor/Tokberget karta.png", "Tokberget")</f>
        <v/>
      </c>
      <c r="X2">
        <f>HYPERLINK("https://klasma.github.io/Logging_FORSKNINGSRESAN_2023/knärot/Tokberget karta knärot.png", "Tokberget")</f>
        <v/>
      </c>
      <c r="Y2">
        <f>HYPERLINK("https://klasma.github.io/Logging_FORSKNINGSRESAN_2023/klagomål/Tokberget FSC-klagomål.docx", "Tokberget")</f>
        <v/>
      </c>
      <c r="Z2">
        <f>HYPERLINK("https://klasma.github.io/Logging_FORSKNINGSRESAN_2023/klagomålsmail/Tokberget FSC-klagomål mail.docx", "Tokberget")</f>
        <v/>
      </c>
      <c r="AA2">
        <f>HYPERLINK("https://klasma.github.io/Logging_FORSKNINGSRESAN_2023/tillsyn/Tokberget tillsynsbegäran.docx", "Tokberget")</f>
        <v/>
      </c>
      <c r="AB2">
        <f>HYPERLINK("https://klasma.github.io/Logging_FORSKNINGSRESAN_2023/tillsynsmail/Tokberget tillsynsbegäran mail.docx", "Tokberget")</f>
        <v/>
      </c>
      <c r="AC2">
        <f>HYPERLINK("https://klasma.github.io/Logging_FORSKNINGSRESAN_2023/fåglar/Tokberget prioriterade fågelarter.docx", "Tokberget")</f>
        <v/>
      </c>
    </row>
    <row r="3" ht="15" customHeight="1">
      <c r="A3" t="inlineStr">
        <is>
          <t>Örasjöberget</t>
        </is>
      </c>
      <c r="B3" t="inlineStr">
        <is>
          <t>avverkningsanmälan</t>
        </is>
      </c>
      <c r="D3" s="1" t="n">
        <v>46222</v>
      </c>
      <c r="E3" s="1" t="n">
        <v>46222</v>
      </c>
      <c r="F3" t="inlineStr">
        <is>
          <t>Jämtlands län</t>
        </is>
      </c>
      <c r="G3" t="inlineStr">
        <is>
          <t>Berg</t>
        </is>
      </c>
      <c r="I3" t="n">
        <v>382.3</v>
      </c>
      <c r="J3" t="n">
        <v>20</v>
      </c>
      <c r="K3" t="n">
        <v>23</v>
      </c>
      <c r="L3" t="n">
        <v>40</v>
      </c>
      <c r="M3" t="n">
        <v>10</v>
      </c>
      <c r="N3" t="n">
        <v>1</v>
      </c>
      <c r="O3" t="n">
        <v>1</v>
      </c>
      <c r="P3" t="n">
        <v>0</v>
      </c>
      <c r="Q3" t="n">
        <v>52</v>
      </c>
      <c r="R3" t="n">
        <v>12</v>
      </c>
      <c r="S3" t="n">
        <v>84</v>
      </c>
      <c r="T3" t="n">
        <v>1118</v>
      </c>
      <c r="U3" s="2" t="inlineStr">
        <is>
          <t>Kolticka
Urskogsporing
Doftticka
Fläckporing
Garnlav
Gräddporing
Gränsticka
Knärot
Laxgröppa
Liten aspgelélav
Skrovlig taggsvamp
Tornseglare
Apelsinticka
Blanksvart spiklav
Blågrå svartspik
Doftskinn
Dofttaggsvamp
Dropptaggsvamp
Dvärgbägarlav
Gammelgransskål
Grå blåbärsfältmätare
Knottrig blåslav
Kolflarnlav
Kortskaftad ärgspik
Kungsörn
Kådvaxskinn
Ladusvala
Liten svartspik
Lunglav
Mörk kolflarnlav
Nordlig nållav
Nordtagging
Reliktbock
Rosenticka
Rynkskinn
Skarp dropptaggsvamp
Skrovellav
Skuggblåslav
Slåtterfibbla
Stiftgelélav
Talltagel
Tallticka
Talltita
Tretåig hackspett
Vaddporing
Varglav
Vedflamlav
Vedskivlav
Vedtrappmossa
Violettgrå tagellav
Vitgrynig nållav
Vitplätt
Barkticka
Bågpraktmossa
Bårdlav
Dvärgtufs
Gräsull
Grönpyrola
Gullgröppa
Gytterlav
Korallblylav
Korallrot
Källmossor
Källpraktmossa
Luddlav
Mindre märgborre
Mörkhövdad spiklav
Nästlav
Plattlummer
Rävticka
Skinnlav
Spindelblomster
Stuplav
Vedticka
Vågbandad barkbock
Järpe
Spillkråka
Tjäder
Åkergroda
Skogsödla
Vanlig groda
Fläcknycklar
Nattviol
Revlummer</t>
        </is>
      </c>
      <c r="V3">
        <f>HYPERLINK("https://klasma.github.io/Logging_FORSKNINGSRESAN_2023/artfynd/Örasjöberget artfynd.xlsx", "Örasjöberget")</f>
        <v/>
      </c>
      <c r="W3">
        <f>HYPERLINK("https://klasma.github.io/Logging_FORSKNINGSRESAN_2023/kartor/Örasjöberget karta.png", "Örasjöberget")</f>
        <v/>
      </c>
      <c r="X3">
        <f>HYPERLINK("https://klasma.github.io/Logging_FORSKNINGSRESAN_2023/knärot/Örasjöberget karta knärot.png", "Örasjöberget")</f>
        <v/>
      </c>
      <c r="Y3">
        <f>HYPERLINK("https://klasma.github.io/Logging_FORSKNINGSRESAN_2023/klagomål/Örasjöberget FSC-klagomål.docx", "Örasjöberget")</f>
        <v/>
      </c>
      <c r="Z3">
        <f>HYPERLINK("https://klasma.github.io/Logging_FORSKNINGSRESAN_2023/klagomålsmail/Örasjöberget FSC-klagomål mail.docx", "Örasjöberget")</f>
        <v/>
      </c>
      <c r="AA3">
        <f>HYPERLINK("https://klasma.github.io/Logging_FORSKNINGSRESAN_2023/tillsyn/Örasjöberget tillsynsbegäran.docx", "Örasjöberget")</f>
        <v/>
      </c>
      <c r="AB3">
        <f>HYPERLINK("https://klasma.github.io/Logging_FORSKNINGSRESAN_2023/tillsynsmail/Örasjöberget tillsynsbegäran mail.docx", "Örasjöberget")</f>
        <v/>
      </c>
      <c r="AC3">
        <f>HYPERLINK("https://klasma.github.io/Logging_FORSKNINGSRESAN_2023/fåglar/Örasjöberget prioriterade fågelarter.docx", "Örasjöberget")</f>
        <v/>
      </c>
    </row>
    <row r="4" ht="15" customHeight="1">
      <c r="A4" t="inlineStr">
        <is>
          <t>Halstjärnarna</t>
        </is>
      </c>
      <c r="B4" t="inlineStr">
        <is>
          <t>avverkningsanmälan</t>
        </is>
      </c>
      <c r="D4" s="1" t="n">
        <v>46222</v>
      </c>
      <c r="E4" s="1" t="n">
        <v>46222</v>
      </c>
      <c r="F4" t="inlineStr">
        <is>
          <t>Jämtlands län</t>
        </is>
      </c>
      <c r="G4" t="inlineStr">
        <is>
          <t>Berg</t>
        </is>
      </c>
      <c r="I4" t="n">
        <v>86.59999999999999</v>
      </c>
      <c r="J4" t="n">
        <v>9</v>
      </c>
      <c r="K4" t="n">
        <v>14</v>
      </c>
      <c r="L4" t="n">
        <v>32</v>
      </c>
      <c r="M4" t="n">
        <v>13</v>
      </c>
      <c r="N4" t="n">
        <v>1</v>
      </c>
      <c r="O4" t="n">
        <v>2</v>
      </c>
      <c r="P4" t="n">
        <v>0</v>
      </c>
      <c r="Q4" t="n">
        <v>48</v>
      </c>
      <c r="R4" t="n">
        <v>16</v>
      </c>
      <c r="S4" t="n">
        <v>66</v>
      </c>
      <c r="T4" t="n">
        <v>577</v>
      </c>
      <c r="U4" s="2" t="inlineStr">
        <is>
          <t>Kolticka
Kritporing
Urskogsporing
Doftticka
Fläckporing
Garnlav
Goliatmusseron
Gräddporing
Gränsticka
Knärot
Laxgröppa
Rostskinn
Skrovlig taggsvamp
Smalfotad taggsvamp
Smultronkantarell
Tajgataggsvamp
Apelsinticka
Blanksvart spiklav
Blek lundlav
Blå taggsvamp
Blågrå svartspik
Brunpudrad nållav
Dropptaggsvamp
Dvärgbägarlav
Gammelgransskål
Grå blåbärsfältmätare
Knottrig blåslav
Kolflarnlav
Kortskaftad ärgspik
Kådvaxskinn
Lunglav
Mörk kolflarnlav
Nordtagging
Orange taggsvamp
Skarp dropptaggsvamp
Skorpgelélav
Skrovellav
Talltagel
Tallticka
Talltita
Tretåig hackspett
Ullticka
Vaddporing
Vedflamlav
Vedskivlav
Vedtrappmossa
Vitgrynig nållav
Vitplätt
Bollvitmossa
Bårdlav
Flagellkvastmossa
Grönpyrola
Gytterlav
Korallblylav
Luddlav
Norrlandslav
Nästlav
Skinnlav
Spindelblomster
Stuplav
Vedticka
Vågbandad barkbock
Tjäder
Fiskgjuse
Fläcknycklar
Revlummer</t>
        </is>
      </c>
      <c r="V4">
        <f>HYPERLINK("https://klasma.github.io/Logging_FORSKNINGSRESAN_2023/artfynd/Halstjärnarna artfynd.xlsx", "Halstjärnarna")</f>
        <v/>
      </c>
      <c r="W4">
        <f>HYPERLINK("https://klasma.github.io/Logging_FORSKNINGSRESAN_2023/kartor/Halstjärnarna karta.png", "Halstjärnarna")</f>
        <v/>
      </c>
      <c r="X4">
        <f>HYPERLINK("https://klasma.github.io/Logging_FORSKNINGSRESAN_2023/knärot/Halstjärnarna karta knärot.png", "Halstjärnarna")</f>
        <v/>
      </c>
      <c r="Y4">
        <f>HYPERLINK("https://klasma.github.io/Logging_FORSKNINGSRESAN_2023/klagomål/Halstjärnarna FSC-klagomål.docx", "Halstjärnarna")</f>
        <v/>
      </c>
      <c r="Z4">
        <f>HYPERLINK("https://klasma.github.io/Logging_FORSKNINGSRESAN_2023/klagomålsmail/Halstjärnarna FSC-klagomål mail.docx", "Halstjärnarna")</f>
        <v/>
      </c>
      <c r="AA4">
        <f>HYPERLINK("https://klasma.github.io/Logging_FORSKNINGSRESAN_2023/tillsyn/Halstjärnarna tillsynsbegäran.docx", "Halstjärnarna")</f>
        <v/>
      </c>
      <c r="AB4">
        <f>HYPERLINK("https://klasma.github.io/Logging_FORSKNINGSRESAN_2023/tillsynsmail/Halstjärnarna tillsynsbegäran mail.docx", "Halstjärnarna")</f>
        <v/>
      </c>
      <c r="AC4">
        <f>HYPERLINK("https://klasma.github.io/Logging_FORSKNINGSRESAN_2023/fåglar/Halstjärnarna prioriterade fågelarter.docx", "Halstjärnarna")</f>
        <v/>
      </c>
    </row>
    <row r="5" ht="15" customHeight="1">
      <c r="A5" t="inlineStr">
        <is>
          <t>Horten Sultentjärnen</t>
        </is>
      </c>
      <c r="B5" t="inlineStr">
        <is>
          <t>avverkningsanmälan</t>
        </is>
      </c>
      <c r="D5" s="1" t="n">
        <v>46222</v>
      </c>
      <c r="E5" s="1" t="n">
        <v>46222</v>
      </c>
      <c r="F5" t="inlineStr">
        <is>
          <t>Jämtlands län</t>
        </is>
      </c>
      <c r="G5" t="inlineStr">
        <is>
          <t>Berg</t>
        </is>
      </c>
      <c r="I5" t="n">
        <v>175.9</v>
      </c>
      <c r="J5" t="n">
        <v>9</v>
      </c>
      <c r="K5" t="n">
        <v>16</v>
      </c>
      <c r="L5" t="n">
        <v>31</v>
      </c>
      <c r="M5" t="n">
        <v>9</v>
      </c>
      <c r="N5" t="n">
        <v>0</v>
      </c>
      <c r="O5" t="n">
        <v>2</v>
      </c>
      <c r="P5" t="n">
        <v>0</v>
      </c>
      <c r="Q5" t="n">
        <v>42</v>
      </c>
      <c r="R5" t="n">
        <v>11</v>
      </c>
      <c r="S5" t="n">
        <v>63</v>
      </c>
      <c r="T5" t="n">
        <v>1217</v>
      </c>
      <c r="U5" s="2" t="inlineStr">
        <is>
          <t>Kolticka
Kritporing
Fläckporing
Garnlav
Gräddporing
Gränsticka
Knärot
Laxgröppa
Skrovlig taggsvamp
Smalfotad taggsvamp
Tajgataggsvamp
Blanksvart spiklav
Blå taggsvamp
Blågrå svartspik
Dropptaggsvamp
Dvärgbägarlav
Grå blåbärsfältmätare
Kandelabersvamp
Knottrig blåslav
Kolflarnlav
Kortskaftad ärgspik
Liten svartspik
Lunglav
Mörk kolflarnlav
Nordlig nållav
Nordtagging
Orange taggsvamp
Reliktbock
Skarp dropptaggsvamp
Skrovellav
Skuggblåslav
Talltagel
Tallticka
Talltita
Tretåig hackspett
Vaddporing
Vedflamlav
Vedskivlav
Vedtrappmossa
Violettgrå tagellav
Vitgrynig nållav
Vitplätt
Barkticka
Bårdlav
Grönpyrola
Gytterlav
Korallblylav
Kornig nållav
Luddlav
Mindre märgborre
Nästlav
Purpurmylia
Rostfläck
Rävticka
Skinnlav
Spindelblomster
Stuplav
Vedticka
Spillkråka
Tjäder
Vanlig padda
Fläcknycklar
Nattviol</t>
        </is>
      </c>
      <c r="V5">
        <f>HYPERLINK("https://klasma.github.io/Logging_FORSKNINGSRESAN_2023/artfynd/Horten Sultentjärnen artfynd.xlsx", "Horten Sultentjärnen")</f>
        <v/>
      </c>
      <c r="W5">
        <f>HYPERLINK("https://klasma.github.io/Logging_FORSKNINGSRESAN_2023/kartor/Horten Sultentjärnen karta.png", "Horten Sultentjärnen")</f>
        <v/>
      </c>
      <c r="X5">
        <f>HYPERLINK("https://klasma.github.io/Logging_FORSKNINGSRESAN_2023/knärot/Horten Sultentjärnen karta knärot.png", "Horten Sultentjärnen")</f>
        <v/>
      </c>
      <c r="Y5">
        <f>HYPERLINK("https://klasma.github.io/Logging_FORSKNINGSRESAN_2023/klagomål/Horten Sultentjärnen FSC-klagomål.docx", "Horten Sultentjärnen")</f>
        <v/>
      </c>
      <c r="Z5">
        <f>HYPERLINK("https://klasma.github.io/Logging_FORSKNINGSRESAN_2023/klagomålsmail/Horten Sultentjärnen FSC-klagomål mail.docx", "Horten Sultentjärnen")</f>
        <v/>
      </c>
      <c r="AA5">
        <f>HYPERLINK("https://klasma.github.io/Logging_FORSKNINGSRESAN_2023/tillsyn/Horten Sultentjärnen tillsynsbegäran.docx", "Horten Sultentjärnen")</f>
        <v/>
      </c>
      <c r="AB5">
        <f>HYPERLINK("https://klasma.github.io/Logging_FORSKNINGSRESAN_2023/tillsynsmail/Horten Sultentjärnen tillsynsbegäran mail.docx", "Horten Sultentjärnen")</f>
        <v/>
      </c>
      <c r="AC5">
        <f>HYPERLINK("https://klasma.github.io/Logging_FORSKNINGSRESAN_2023/fåglar/Horten Sultentjärnen prioriterade fågelarter.docx", "Horten Sultentjärnen")</f>
        <v/>
      </c>
    </row>
    <row r="6" ht="15" customHeight="1">
      <c r="A6" t="inlineStr">
        <is>
          <t>Hundtjärnbrännan</t>
        </is>
      </c>
      <c r="B6" t="inlineStr">
        <is>
          <t>avverkningsanmälan</t>
        </is>
      </c>
      <c r="D6" s="1" t="n">
        <v>46222</v>
      </c>
      <c r="E6" s="1" t="n">
        <v>46222</v>
      </c>
      <c r="F6" t="inlineStr">
        <is>
          <t>Jämtlands län</t>
        </is>
      </c>
      <c r="G6" t="inlineStr">
        <is>
          <t>Berg</t>
        </is>
      </c>
      <c r="I6" t="n">
        <v>182.9</v>
      </c>
      <c r="J6" t="n">
        <v>8</v>
      </c>
      <c r="K6" t="n">
        <v>12</v>
      </c>
      <c r="L6" t="n">
        <v>21</v>
      </c>
      <c r="M6" t="n">
        <v>8</v>
      </c>
      <c r="N6" t="n">
        <v>2</v>
      </c>
      <c r="O6" t="n">
        <v>0</v>
      </c>
      <c r="P6" t="n">
        <v>0</v>
      </c>
      <c r="Q6" t="n">
        <v>31</v>
      </c>
      <c r="R6" t="n">
        <v>10</v>
      </c>
      <c r="S6" t="n">
        <v>45</v>
      </c>
      <c r="T6" t="n">
        <v>249</v>
      </c>
      <c r="U6" s="2" t="inlineStr">
        <is>
          <t>Urskogsporing
Urskogsticka
Borsttagging
Doftticka
Fläckporing
Garnlav
Gräddporing
Gränsticka
Knärot
Lateritticka
Blanksvart spiklav
Blågrå svartspik
Brunpudrad nållav
Doftskinn
Dvärgbägarlav
Gammelgransskål
Kattfotslav
Kolflarnlav
Lunglav
Mörk kolflarnlav
Nordtagging
Orange taggsvamp
Rosenticka
Skrovellav
Stiftgelélav
Tretåig hackspett
Ullticka
Vedflamlav
Vedskivlav
Vedtrappmossa
Violettgrå tagellav
Barkkornlav
Bårdlav
Grönkulla
Grönpyrola
Korallblylav
Korallrot
Luddlav
Norrlandslav
Plattlummer
Skinnlav
Stuplav
Vedticka
Tjäder
Nattviol</t>
        </is>
      </c>
      <c r="V6">
        <f>HYPERLINK("https://klasma.github.io/Logging_FORSKNINGSRESAN_2023/artfynd/Hundtjärnbrännan artfynd.xlsx", "Hundtjärnbrännan")</f>
        <v/>
      </c>
      <c r="W6">
        <f>HYPERLINK("https://klasma.github.io/Logging_FORSKNINGSRESAN_2023/kartor/Hundtjärnbrännan karta.png", "Hundtjärnbrännan")</f>
        <v/>
      </c>
      <c r="X6">
        <f>HYPERLINK("https://klasma.github.io/Logging_FORSKNINGSRESAN_2023/knärot/Hundtjärnbrännan karta knärot.png", "Hundtjärnbrännan")</f>
        <v/>
      </c>
      <c r="Y6">
        <f>HYPERLINK("https://klasma.github.io/Logging_FORSKNINGSRESAN_2023/klagomål/Hundtjärnbrännan FSC-klagomål.docx", "Hundtjärnbrännan")</f>
        <v/>
      </c>
      <c r="Z6">
        <f>HYPERLINK("https://klasma.github.io/Logging_FORSKNINGSRESAN_2023/klagomålsmail/Hundtjärnbrännan FSC-klagomål mail.docx", "Hundtjärnbrännan")</f>
        <v/>
      </c>
      <c r="AA6">
        <f>HYPERLINK("https://klasma.github.io/Logging_FORSKNINGSRESAN_2023/tillsyn/Hundtjärnbrännan tillsynsbegäran.docx", "Hundtjärnbrännan")</f>
        <v/>
      </c>
      <c r="AB6">
        <f>HYPERLINK("https://klasma.github.io/Logging_FORSKNINGSRESAN_2023/tillsynsmail/Hundtjärnbrännan tillsynsbegäran mail.docx", "Hundtjärnbrännan")</f>
        <v/>
      </c>
      <c r="AC6">
        <f>HYPERLINK("https://klasma.github.io/Logging_FORSKNINGSRESAN_2023/fåglar/Hundtjärnbrännan prioriterade fågelarter.docx", "Hundtjärnbrännan")</f>
        <v/>
      </c>
    </row>
    <row r="7" ht="15" customHeight="1">
      <c r="A7" t="inlineStr">
        <is>
          <t>Länken Vitalmen</t>
        </is>
      </c>
      <c r="B7" t="inlineStr">
        <is>
          <t>avverkningsanmälan</t>
        </is>
      </c>
      <c r="D7" s="1" t="n">
        <v>46222</v>
      </c>
      <c r="E7" s="1" t="n">
        <v>46222</v>
      </c>
      <c r="F7" t="inlineStr">
        <is>
          <t>Jämtlands län</t>
        </is>
      </c>
      <c r="G7" t="inlineStr">
        <is>
          <t>Berg</t>
        </is>
      </c>
      <c r="I7" t="n">
        <v>201</v>
      </c>
      <c r="J7" t="n">
        <v>10</v>
      </c>
      <c r="K7" t="n">
        <v>12</v>
      </c>
      <c r="L7" t="n">
        <v>18</v>
      </c>
      <c r="M7" t="n">
        <v>6</v>
      </c>
      <c r="N7" t="n">
        <v>0</v>
      </c>
      <c r="O7" t="n">
        <v>0</v>
      </c>
      <c r="P7" t="n">
        <v>0</v>
      </c>
      <c r="Q7" t="n">
        <v>24</v>
      </c>
      <c r="R7" t="n">
        <v>6</v>
      </c>
      <c r="S7" t="n">
        <v>41</v>
      </c>
      <c r="T7" t="n">
        <v>207</v>
      </c>
      <c r="U7" s="2" t="inlineStr">
        <is>
          <t>Doftticka
Garnlav
Gräddporing
Gränsticka
Knärot
Skrovlig taggsvamp
Blanksvart spiklav
Blågrå svartspik
Dropptaggsvamp
Dvärgbägarlav
Knottrig blåslav
Kolflarnlav
Lunglav
Mörk kolflarnlav
Nordtagging
Skrovellav
Tretåig hackspett
Ullticka
Vaddporing
Vedflamlav
Vedskivlav
Violettgrå tagellav
Vitgrynig nållav
Vitplätt
Bollvitmossa
Bårdlav
Gytterlav
Korallblylav
Korallrot
Kornig nållav
Luddlav
Nästlav
Skinnlav
Spindelblomster
Stuplav
Vedticka
Tjäder
Fjällvråk
Fläcknycklar
Nattviol
Revlummer</t>
        </is>
      </c>
      <c r="V7">
        <f>HYPERLINK("https://klasma.github.io/Logging_FORSKNINGSRESAN_2023/artfynd/Länken Vitalmen artfynd.xlsx", "Länken Vitalmen")</f>
        <v/>
      </c>
      <c r="W7">
        <f>HYPERLINK("https://klasma.github.io/Logging_FORSKNINGSRESAN_2023/kartor/Länken Vitalmen karta.png", "Länken Vitalmen")</f>
        <v/>
      </c>
      <c r="X7">
        <f>HYPERLINK("https://klasma.github.io/Logging_FORSKNINGSRESAN_2023/knärot/Länken Vitalmen karta knärot.png", "Länken Vitalmen")</f>
        <v/>
      </c>
      <c r="Y7">
        <f>HYPERLINK("https://klasma.github.io/Logging_FORSKNINGSRESAN_2023/klagomål/Länken Vitalmen FSC-klagomål.docx", "Länken Vitalmen")</f>
        <v/>
      </c>
      <c r="Z7">
        <f>HYPERLINK("https://klasma.github.io/Logging_FORSKNINGSRESAN_2023/klagomålsmail/Länken Vitalmen FSC-klagomål mail.docx", "Länken Vitalmen")</f>
        <v/>
      </c>
      <c r="AA7">
        <f>HYPERLINK("https://klasma.github.io/Logging_FORSKNINGSRESAN_2023/tillsyn/Länken Vitalmen tillsynsbegäran.docx", "Länken Vitalmen")</f>
        <v/>
      </c>
      <c r="AB7">
        <f>HYPERLINK("https://klasma.github.io/Logging_FORSKNINGSRESAN_2023/tillsynsmail/Länken Vitalmen tillsynsbegäran mail.docx", "Länken Vitalmen")</f>
        <v/>
      </c>
      <c r="AC7">
        <f>HYPERLINK("https://klasma.github.io/Logging_FORSKNINGSRESAN_2023/fåglar/Länken Vitalmen prioriterade fågelarter.docx", "Länken Vitalmen")</f>
        <v/>
      </c>
    </row>
    <row r="8" ht="15" customHeight="1">
      <c r="A8" t="inlineStr">
        <is>
          <t>Gräsmyren</t>
        </is>
      </c>
      <c r="B8" t="inlineStr">
        <is>
          <t>avverkningsanmälan</t>
        </is>
      </c>
      <c r="D8" s="1" t="n">
        <v>46222</v>
      </c>
      <c r="E8" s="1" t="n">
        <v>46222</v>
      </c>
      <c r="F8" t="inlineStr">
        <is>
          <t>Jämtlands län</t>
        </is>
      </c>
      <c r="G8" t="inlineStr">
        <is>
          <t>Berg</t>
        </is>
      </c>
      <c r="I8" t="n">
        <v>226</v>
      </c>
      <c r="J8" t="n">
        <v>4</v>
      </c>
      <c r="K8" t="n">
        <v>15</v>
      </c>
      <c r="L8" t="n">
        <v>18</v>
      </c>
      <c r="M8" t="n">
        <v>4</v>
      </c>
      <c r="N8" t="n">
        <v>0</v>
      </c>
      <c r="O8" t="n">
        <v>0</v>
      </c>
      <c r="P8" t="n">
        <v>0</v>
      </c>
      <c r="Q8" t="n">
        <v>22</v>
      </c>
      <c r="R8" t="n">
        <v>4</v>
      </c>
      <c r="S8" t="n">
        <v>39</v>
      </c>
      <c r="T8" t="n">
        <v>147</v>
      </c>
      <c r="U8" s="2" t="inlineStr">
        <is>
          <t>Garnlav
Grantickeporing
Grenlav
Gränsticka
Blågrå svartspik
Brunpudrad nållav
Doftskinn
Gammelgransskål
Harticka
Knottrig blåslav
Kötticka
Lunglav
Rosenticka
Skogsfru
Skrovellav
Skuggblåslav
Stjärntagging
Ullticka
Vedflamlav
Violettgrå tagellav
Violmussling
Vitgrynig nållav
Barkkornlav
Blodticka
Bårdlav
Gräsull
Gytterlav
Korallblylav
Kransrams
Luddlav
Sotlav
Stuplav
Svavelriska
Tibast
Trådticka
Tvåblad
Vedticka
Brudsporre
Nattviol</t>
        </is>
      </c>
      <c r="V8">
        <f>HYPERLINK("https://klasma.github.io/Logging_FORSKNINGSRESAN_2023/artfynd/Gräsmyren artfynd.xlsx", "Gräsmyren")</f>
        <v/>
      </c>
      <c r="W8">
        <f>HYPERLINK("https://klasma.github.io/Logging_FORSKNINGSRESAN_2023/kartor/Gräsmyren karta.png", "Gräsmyren")</f>
        <v/>
      </c>
      <c r="Y8">
        <f>HYPERLINK("https://klasma.github.io/Logging_FORSKNINGSRESAN_2023/klagomål/Gräsmyren FSC-klagomål.docx", "Gräsmyren")</f>
        <v/>
      </c>
      <c r="Z8">
        <f>HYPERLINK("https://klasma.github.io/Logging_FORSKNINGSRESAN_2023/klagomålsmail/Gräsmyren FSC-klagomål mail.docx", "Gräsmyren")</f>
        <v/>
      </c>
      <c r="AA8">
        <f>HYPERLINK("https://klasma.github.io/Logging_FORSKNINGSRESAN_2023/tillsyn/Gräsmyren tillsynsbegäran.docx", "Gräsmyren")</f>
        <v/>
      </c>
      <c r="AB8">
        <f>HYPERLINK("https://klasma.github.io/Logging_FORSKNINGSRESAN_2023/tillsynsmail/Gräsmyren tillsynsbegäran mail.docx", "Gräsmyren")</f>
        <v/>
      </c>
    </row>
    <row r="9" ht="15" customHeight="1">
      <c r="A9" t="inlineStr">
        <is>
          <t>Floarna</t>
        </is>
      </c>
      <c r="B9" t="inlineStr">
        <is>
          <t>avverkningsanmälan</t>
        </is>
      </c>
      <c r="D9" s="1" t="n">
        <v>46222</v>
      </c>
      <c r="E9" s="1" t="n">
        <v>46222</v>
      </c>
      <c r="F9" t="inlineStr">
        <is>
          <t>Jämtlands län</t>
        </is>
      </c>
      <c r="G9" t="inlineStr">
        <is>
          <t>Berg</t>
        </is>
      </c>
      <c r="I9" t="n">
        <v>724.7</v>
      </c>
      <c r="J9" t="n">
        <v>5</v>
      </c>
      <c r="K9" t="n">
        <v>3</v>
      </c>
      <c r="L9" t="n">
        <v>22</v>
      </c>
      <c r="M9" t="n">
        <v>7</v>
      </c>
      <c r="N9" t="n">
        <v>1</v>
      </c>
      <c r="O9" t="n">
        <v>0</v>
      </c>
      <c r="P9" t="n">
        <v>0</v>
      </c>
      <c r="Q9" t="n">
        <v>30</v>
      </c>
      <c r="R9" t="n">
        <v>8</v>
      </c>
      <c r="S9" t="n">
        <v>36</v>
      </c>
      <c r="T9" t="n">
        <v>139</v>
      </c>
      <c r="U9" s="2" t="inlineStr">
        <is>
          <t>Urskogsporing
Doftticka
Fläckporing
Garnlav
Gräddporing
Knärot
Rotfingersvamp
Skrovlig taggsvamp
Blanksvart spiklav
Blågrå svartspik
Doftskinn
Dropptaggsvamp
Dvärgbägarlav
Kolflarnlav
Kortskaftad ärgspik
Lunglav
Mörk kolflarnlav
Nordtagging
Orange taggsvamp
Reliktbock
Rynkskinn
Stiftgelélav
Tallticka
Ullticka
Vaddporing
Vedflamlav
Vedskivlav
Vedtrappmossa
Vitplätt
Äggvaxskivling
Gräsull
Nästlav
Trådticka
Järpe
Smålom
Utter</t>
        </is>
      </c>
      <c r="V9">
        <f>HYPERLINK("https://klasma.github.io/Logging_FORSKNINGSRESAN_2023/artfynd/Floarna artfynd.xlsx", "Floarna")</f>
        <v/>
      </c>
      <c r="W9">
        <f>HYPERLINK("https://klasma.github.io/Logging_FORSKNINGSRESAN_2023/kartor/Floarna karta.png", "Floarna")</f>
        <v/>
      </c>
      <c r="X9">
        <f>HYPERLINK("https://klasma.github.io/Logging_FORSKNINGSRESAN_2023/knärot/Floarna karta knärot.png", "Floarna")</f>
        <v/>
      </c>
      <c r="Y9">
        <f>HYPERLINK("https://klasma.github.io/Logging_FORSKNINGSRESAN_2023/klagomål/Floarna FSC-klagomål.docx", "Floarna")</f>
        <v/>
      </c>
      <c r="Z9">
        <f>HYPERLINK("https://klasma.github.io/Logging_FORSKNINGSRESAN_2023/klagomålsmail/Floarna FSC-klagomål mail.docx", "Floarna")</f>
        <v/>
      </c>
      <c r="AA9">
        <f>HYPERLINK("https://klasma.github.io/Logging_FORSKNINGSRESAN_2023/tillsyn/Floarna tillsynsbegäran.docx", "Floarna")</f>
        <v/>
      </c>
      <c r="AB9">
        <f>HYPERLINK("https://klasma.github.io/Logging_FORSKNINGSRESAN_2023/tillsynsmail/Floarna tillsynsbegäran mail.docx", "Floarna")</f>
        <v/>
      </c>
      <c r="AC9">
        <f>HYPERLINK("https://klasma.github.io/Logging_FORSKNINGSRESAN_2023/fåglar/Floarna prioriterade fågelarter.docx", "Floarna")</f>
        <v/>
      </c>
    </row>
    <row r="10" ht="15" customHeight="1">
      <c r="A10" t="inlineStr">
        <is>
          <t>Juånäset</t>
        </is>
      </c>
      <c r="B10" t="inlineStr">
        <is>
          <t>avverkningsanmälan</t>
        </is>
      </c>
      <c r="D10" s="1" t="n">
        <v>46222</v>
      </c>
      <c r="E10" s="1" t="n">
        <v>46222</v>
      </c>
      <c r="F10" t="inlineStr">
        <is>
          <t>Jämtlands län</t>
        </is>
      </c>
      <c r="G10" t="inlineStr">
        <is>
          <t>Berg</t>
        </is>
      </c>
      <c r="I10" t="n">
        <v>94.90000000000001</v>
      </c>
      <c r="J10" t="n">
        <v>15</v>
      </c>
      <c r="K10" t="n">
        <v>7</v>
      </c>
      <c r="L10" t="n">
        <v>15</v>
      </c>
      <c r="M10" t="n">
        <v>2</v>
      </c>
      <c r="N10" t="n">
        <v>1</v>
      </c>
      <c r="O10" t="n">
        <v>0</v>
      </c>
      <c r="P10" t="n">
        <v>0</v>
      </c>
      <c r="Q10" t="n">
        <v>18</v>
      </c>
      <c r="R10" t="n">
        <v>3</v>
      </c>
      <c r="S10" t="n">
        <v>34</v>
      </c>
      <c r="T10" t="n">
        <v>109</v>
      </c>
      <c r="U10" s="2" t="inlineStr">
        <is>
          <t>Storspov
Garnlav
Knärot
Dropptaggsvamp
Dvärgbägarlav
Kolflarnlav
Lunglav
Mörk kolflarnlav
Rosenticka
Rynkskinn
Stiftgelélav
Sädesärla
Talltita
Tretåig hackspett
Ullticka
Vedskivlav
Vedtrappmossa
Violettgrå tagellav
Bårdlav
Flagellkvastmossa
Grönpyrola
Korallblylav
Korallrot
Skinnlav
Stuplav
Järpe
Spillkråka
Tjäder
Grönsiska
Kråka
Kungsfågel
Svartvit flugsnappare
Sävsparv
Trana</t>
        </is>
      </c>
      <c r="V10">
        <f>HYPERLINK("https://klasma.github.io/Logging_FORSKNINGSRESAN_2023/artfynd/Juånäset artfynd.xlsx", "Juånäset")</f>
        <v/>
      </c>
      <c r="W10">
        <f>HYPERLINK("https://klasma.github.io/Logging_FORSKNINGSRESAN_2023/kartor/Juånäset karta.png", "Juånäset")</f>
        <v/>
      </c>
      <c r="X10">
        <f>HYPERLINK("https://klasma.github.io/Logging_FORSKNINGSRESAN_2023/knärot/Juånäset karta knärot.png", "Juånäset")</f>
        <v/>
      </c>
      <c r="Y10">
        <f>HYPERLINK("https://klasma.github.io/Logging_FORSKNINGSRESAN_2023/klagomål/Juånäset FSC-klagomål.docx", "Juånäset")</f>
        <v/>
      </c>
      <c r="Z10">
        <f>HYPERLINK("https://klasma.github.io/Logging_FORSKNINGSRESAN_2023/klagomålsmail/Juånäset FSC-klagomål mail.docx", "Juånäset")</f>
        <v/>
      </c>
      <c r="AA10">
        <f>HYPERLINK("https://klasma.github.io/Logging_FORSKNINGSRESAN_2023/tillsyn/Juånäset tillsynsbegäran.docx", "Juånäset")</f>
        <v/>
      </c>
      <c r="AB10">
        <f>HYPERLINK("https://klasma.github.io/Logging_FORSKNINGSRESAN_2023/tillsynsmail/Juånäset tillsynsbegäran mail.docx", "Juånäset")</f>
        <v/>
      </c>
      <c r="AC10">
        <f>HYPERLINK("https://klasma.github.io/Logging_FORSKNINGSRESAN_2023/fåglar/Juånäset prioriterade fågelarter.docx", "Juånäset")</f>
        <v/>
      </c>
    </row>
    <row r="11" ht="15" customHeight="1">
      <c r="A11" t="inlineStr">
        <is>
          <t>Fröbäckstjärnarna</t>
        </is>
      </c>
      <c r="B11" t="inlineStr">
        <is>
          <t>avverkningsanmälan</t>
        </is>
      </c>
      <c r="D11" s="1" t="n">
        <v>46222</v>
      </c>
      <c r="E11" s="1" t="n">
        <v>46222</v>
      </c>
      <c r="F11" t="inlineStr">
        <is>
          <t>Jämtlands län</t>
        </is>
      </c>
      <c r="G11" t="inlineStr">
        <is>
          <t>Berg</t>
        </is>
      </c>
      <c r="I11" t="n">
        <v>751.8</v>
      </c>
      <c r="J11" t="n">
        <v>7</v>
      </c>
      <c r="K11" t="n">
        <v>4</v>
      </c>
      <c r="L11" t="n">
        <v>20</v>
      </c>
      <c r="M11" t="n">
        <v>5</v>
      </c>
      <c r="N11" t="n">
        <v>1</v>
      </c>
      <c r="O11" t="n">
        <v>0</v>
      </c>
      <c r="P11" t="n">
        <v>0</v>
      </c>
      <c r="Q11" t="n">
        <v>26</v>
      </c>
      <c r="R11" t="n">
        <v>6</v>
      </c>
      <c r="S11" t="n">
        <v>34</v>
      </c>
      <c r="T11" t="n">
        <v>240</v>
      </c>
      <c r="U11" s="2" t="inlineStr">
        <is>
          <t>Urskogsporing
Fläckporing
Garnlav
Gräddporing
Knärot
Rostskinn
Blanksvart spiklav
Blågrå svartspik
Dropptaggsvamp
Dvärgbägarlav
Kolflarnlav
Kortskaftad ärgspik
Lunglav
Motaggsvamp
Mörk kolflarnlav
Nordtagging
Reliktbock
Skrovellav
Stiftgelélav
Talltita
Tretåig hackspett
Ullticka
Vedflamlav
Vedskivlav
Vedtrappmossa
Vitplätt
Grönpyrola
Korallblylav
Skinnlav
Stor aspticka
Järpe
Tjäder
Trana
Revlummer</t>
        </is>
      </c>
      <c r="V11">
        <f>HYPERLINK("https://klasma.github.io/Logging_FORSKNINGSRESAN_2023/artfynd/Fröbäckstjärnarna artfynd.xlsx", "Fröbäckstjärnarna")</f>
        <v/>
      </c>
      <c r="W11">
        <f>HYPERLINK("https://klasma.github.io/Logging_FORSKNINGSRESAN_2023/kartor/Fröbäckstjärnarna karta.png", "Fröbäckstjärnarna")</f>
        <v/>
      </c>
      <c r="X11">
        <f>HYPERLINK("https://klasma.github.io/Logging_FORSKNINGSRESAN_2023/knärot/Fröbäckstjärnarna karta knärot.png", "Fröbäckstjärnarna")</f>
        <v/>
      </c>
      <c r="Y11">
        <f>HYPERLINK("https://klasma.github.io/Logging_FORSKNINGSRESAN_2023/klagomål/Fröbäckstjärnarna FSC-klagomål.docx", "Fröbäckstjärnarna")</f>
        <v/>
      </c>
      <c r="Z11">
        <f>HYPERLINK("https://klasma.github.io/Logging_FORSKNINGSRESAN_2023/klagomålsmail/Fröbäckstjärnarna FSC-klagomål mail.docx", "Fröbäckstjärnarna")</f>
        <v/>
      </c>
      <c r="AA11">
        <f>HYPERLINK("https://klasma.github.io/Logging_FORSKNINGSRESAN_2023/tillsyn/Fröbäckstjärnarna tillsynsbegäran.docx", "Fröbäckstjärnarna")</f>
        <v/>
      </c>
      <c r="AB11">
        <f>HYPERLINK("https://klasma.github.io/Logging_FORSKNINGSRESAN_2023/tillsynsmail/Fröbäckstjärnarna tillsynsbegäran mail.docx", "Fröbäckstjärnarna")</f>
        <v/>
      </c>
      <c r="AC11">
        <f>HYPERLINK("https://klasma.github.io/Logging_FORSKNINGSRESAN_2023/fåglar/Fröbäckstjärnarna prioriterade fågelarter.docx", "Fröbäckstjärnarna")</f>
        <v/>
      </c>
    </row>
    <row r="12" ht="15" customHeight="1">
      <c r="A12" t="inlineStr">
        <is>
          <t>Bodsjön</t>
        </is>
      </c>
      <c r="B12" t="inlineStr">
        <is>
          <t>avverkningsanmälan</t>
        </is>
      </c>
      <c r="D12" s="1" t="n">
        <v>46222</v>
      </c>
      <c r="E12" s="1" t="n">
        <v>46222</v>
      </c>
      <c r="F12" t="inlineStr">
        <is>
          <t>Jämtlands län</t>
        </is>
      </c>
      <c r="G12" t="inlineStr">
        <is>
          <t>Berg</t>
        </is>
      </c>
      <c r="I12" t="n">
        <v>49.7</v>
      </c>
      <c r="J12" t="n">
        <v>5</v>
      </c>
      <c r="K12" t="n">
        <v>7</v>
      </c>
      <c r="L12" t="n">
        <v>11</v>
      </c>
      <c r="M12" t="n">
        <v>2</v>
      </c>
      <c r="N12" t="n">
        <v>0</v>
      </c>
      <c r="O12" t="n">
        <v>0</v>
      </c>
      <c r="P12" t="n">
        <v>0</v>
      </c>
      <c r="Q12" t="n">
        <v>13</v>
      </c>
      <c r="R12" t="n">
        <v>2</v>
      </c>
      <c r="S12" t="n">
        <v>25</v>
      </c>
      <c r="T12" t="n">
        <v>90</v>
      </c>
      <c r="U12" s="2" t="inlineStr">
        <is>
          <t>Garnlav
Knärot
Gammelgransskål
Lunglav
Mörk kolflarnlav
Rosenticka
Rynkskinn
Skrovellav
Stiftgelélav
Talltita
Tretåig hackspett
Ullticka
Vitgrynig nållav
Bollvitmossa
Bårdlav
Korallblylav
Luddlav
Stuplav
Trådticka
Vedticka
Kransmossa
Spillkråka
Timmerticka
Torta
Revlummer</t>
        </is>
      </c>
      <c r="V12">
        <f>HYPERLINK("https://klasma.github.io/Logging_FORSKNINGSRESAN_2023/artfynd/Bodsjön artfynd.xlsx", "Bodsjön")</f>
        <v/>
      </c>
      <c r="W12">
        <f>HYPERLINK("https://klasma.github.io/Logging_FORSKNINGSRESAN_2023/kartor/Bodsjön karta.png", "Bodsjön")</f>
        <v/>
      </c>
      <c r="X12">
        <f>HYPERLINK("https://klasma.github.io/Logging_FORSKNINGSRESAN_2023/knärot/Bodsjön karta knärot.png", "Bodsjön")</f>
        <v/>
      </c>
      <c r="Y12">
        <f>HYPERLINK("https://klasma.github.io/Logging_FORSKNINGSRESAN_2023/klagomål/Bodsjön FSC-klagomål.docx", "Bodsjön")</f>
        <v/>
      </c>
      <c r="Z12">
        <f>HYPERLINK("https://klasma.github.io/Logging_FORSKNINGSRESAN_2023/klagomålsmail/Bodsjön FSC-klagomål mail.docx", "Bodsjön")</f>
        <v/>
      </c>
      <c r="AA12">
        <f>HYPERLINK("https://klasma.github.io/Logging_FORSKNINGSRESAN_2023/tillsyn/Bodsjön tillsynsbegäran.docx", "Bodsjön")</f>
        <v/>
      </c>
      <c r="AB12">
        <f>HYPERLINK("https://klasma.github.io/Logging_FORSKNINGSRESAN_2023/tillsynsmail/Bodsjön tillsynsbegäran mail.docx", "Bodsjön")</f>
        <v/>
      </c>
      <c r="AC12">
        <f>HYPERLINK("https://klasma.github.io/Logging_FORSKNINGSRESAN_2023/fåglar/Bodsjön prioriterade fågelarter.docx", "Bodsjön")</f>
        <v/>
      </c>
    </row>
    <row r="13" ht="15" customHeight="1">
      <c r="A13" t="inlineStr">
        <is>
          <t>Holmnäset</t>
        </is>
      </c>
      <c r="B13" t="inlineStr">
        <is>
          <t>avverkningsanmälan</t>
        </is>
      </c>
      <c r="D13" s="1" t="n">
        <v>46222</v>
      </c>
      <c r="E13" s="1" t="n">
        <v>46222</v>
      </c>
      <c r="F13" t="inlineStr">
        <is>
          <t>Jämtlands län</t>
        </is>
      </c>
      <c r="G13" t="inlineStr">
        <is>
          <t>Berg</t>
        </is>
      </c>
      <c r="I13" t="n">
        <v>163.9</v>
      </c>
      <c r="J13" t="n">
        <v>1</v>
      </c>
      <c r="K13" t="n">
        <v>5</v>
      </c>
      <c r="L13" t="n">
        <v>15</v>
      </c>
      <c r="M13" t="n">
        <v>4</v>
      </c>
      <c r="N13" t="n">
        <v>1</v>
      </c>
      <c r="O13" t="n">
        <v>0</v>
      </c>
      <c r="P13" t="n">
        <v>0</v>
      </c>
      <c r="Q13" t="n">
        <v>20</v>
      </c>
      <c r="R13" t="n">
        <v>5</v>
      </c>
      <c r="S13" t="n">
        <v>25</v>
      </c>
      <c r="T13" t="n">
        <v>141</v>
      </c>
      <c r="U13" s="2" t="inlineStr">
        <is>
          <t>Urskogsporing
Fläckporing
Garnlav
Knärot
Ostticka
Blanksvart spiklav
Blågrå svartspik
Dropptaggsvamp
Dvärgbägarlav
Knottrig blåslav
Kolflarnlav
Lunglav
Mörk kolflarnlav
Nordtagging
Rynkskinn
Stiftgelélav
Vedflamlav
Vedskivlav
Vedtrappmossa
Vitgrynig nållav
Mindre märgborre
Skinnlav
Sotlav
Stuplav
Vedticka</t>
        </is>
      </c>
      <c r="V13">
        <f>HYPERLINK("https://klasma.github.io/Logging_FORSKNINGSRESAN_2023/artfynd/Holmnäset artfynd.xlsx", "Holmnäset")</f>
        <v/>
      </c>
      <c r="W13">
        <f>HYPERLINK("https://klasma.github.io/Logging_FORSKNINGSRESAN_2023/kartor/Holmnäset karta.png", "Holmnäset")</f>
        <v/>
      </c>
      <c r="X13">
        <f>HYPERLINK("https://klasma.github.io/Logging_FORSKNINGSRESAN_2023/knärot/Holmnäset karta knärot.png", "Holmnäset")</f>
        <v/>
      </c>
      <c r="Y13">
        <f>HYPERLINK("https://klasma.github.io/Logging_FORSKNINGSRESAN_2023/klagomål/Holmnäset FSC-klagomål.docx", "Holmnäset")</f>
        <v/>
      </c>
      <c r="Z13">
        <f>HYPERLINK("https://klasma.github.io/Logging_FORSKNINGSRESAN_2023/klagomålsmail/Holmnäset FSC-klagomål mail.docx", "Holmnäset")</f>
        <v/>
      </c>
      <c r="AA13">
        <f>HYPERLINK("https://klasma.github.io/Logging_FORSKNINGSRESAN_2023/tillsyn/Holmnäset tillsynsbegäran.docx", "Holmnäset")</f>
        <v/>
      </c>
      <c r="AB13">
        <f>HYPERLINK("https://klasma.github.io/Logging_FORSKNINGSRESAN_2023/tillsynsmail/Holmnäset tillsynsbegäran mail.docx", "Holmnäset")</f>
        <v/>
      </c>
    </row>
    <row r="14" ht="15" customHeight="1">
      <c r="A14" t="inlineStr">
        <is>
          <t>Staverberget SCA</t>
        </is>
      </c>
      <c r="B14" t="inlineStr">
        <is>
          <t>avverkningsanmälan</t>
        </is>
      </c>
      <c r="D14" s="1" t="n">
        <v>46222</v>
      </c>
      <c r="E14" s="1" t="n">
        <v>46222</v>
      </c>
      <c r="F14" t="inlineStr">
        <is>
          <t>Jämtlands län</t>
        </is>
      </c>
      <c r="G14" t="inlineStr">
        <is>
          <t>Berg</t>
        </is>
      </c>
      <c r="I14" t="n">
        <v>115.3</v>
      </c>
      <c r="J14" t="n">
        <v>7</v>
      </c>
      <c r="K14" t="n">
        <v>3</v>
      </c>
      <c r="L14" t="n">
        <v>13</v>
      </c>
      <c r="M14" t="n">
        <v>4</v>
      </c>
      <c r="N14" t="n">
        <v>0</v>
      </c>
      <c r="O14" t="n">
        <v>0</v>
      </c>
      <c r="P14" t="n">
        <v>0</v>
      </c>
      <c r="Q14" t="n">
        <v>17</v>
      </c>
      <c r="R14" t="n">
        <v>4</v>
      </c>
      <c r="S14" t="n">
        <v>23</v>
      </c>
      <c r="T14" t="n">
        <v>82</v>
      </c>
      <c r="U14" s="2" t="inlineStr">
        <is>
          <t>Fläckporing
Garnlav
Knärot
Lateritticka
Blågrå svartspik
Dvärgbägarlav
Enkelbeckasin
Kolflarnlav
Kortskaftad ärgspik
Lunglav
Mörk kolflarnlav
Reliktbock
Tretåig hackspett
Ullticka
Vedflamlav
Vedskivlav
Vitplätt
Gullgröppa
Korallblylav
Tvåblad
Spillkråka
Tjäder
Orre</t>
        </is>
      </c>
      <c r="V14">
        <f>HYPERLINK("https://klasma.github.io/Logging_FORSKNINGSRESAN_2023/artfynd/Staverberget SCA artfynd.xlsx", "Staverberget SCA")</f>
        <v/>
      </c>
      <c r="W14">
        <f>HYPERLINK("https://klasma.github.io/Logging_FORSKNINGSRESAN_2023/kartor/Staverberget SCA karta.png", "Staverberget SCA")</f>
        <v/>
      </c>
      <c r="X14">
        <f>HYPERLINK("https://klasma.github.io/Logging_FORSKNINGSRESAN_2023/knärot/Staverberget SCA karta knärot.png", "Staverberget SCA")</f>
        <v/>
      </c>
      <c r="Y14">
        <f>HYPERLINK("https://klasma.github.io/Logging_FORSKNINGSRESAN_2023/klagomål/Staverberget SCA FSC-klagomål.docx", "Staverberget SCA")</f>
        <v/>
      </c>
      <c r="Z14">
        <f>HYPERLINK("https://klasma.github.io/Logging_FORSKNINGSRESAN_2023/klagomålsmail/Staverberget SCA FSC-klagomål mail.docx", "Staverberget SCA")</f>
        <v/>
      </c>
      <c r="AA14">
        <f>HYPERLINK("https://klasma.github.io/Logging_FORSKNINGSRESAN_2023/tillsyn/Staverberget SCA tillsynsbegäran.docx", "Staverberget SCA")</f>
        <v/>
      </c>
      <c r="AB14">
        <f>HYPERLINK("https://klasma.github.io/Logging_FORSKNINGSRESAN_2023/tillsynsmail/Staverberget SCA tillsynsbegäran mail.docx", "Staverberget SCA")</f>
        <v/>
      </c>
      <c r="AC14">
        <f>HYPERLINK("https://klasma.github.io/Logging_FORSKNINGSRESAN_2023/fåglar/Staverberget SCA prioriterade fågelarter.docx", "Staverberget SCA")</f>
        <v/>
      </c>
    </row>
    <row r="15" ht="15" customHeight="1">
      <c r="A15" t="inlineStr">
        <is>
          <t>Björnbäcken</t>
        </is>
      </c>
      <c r="B15" t="inlineStr">
        <is>
          <t>avverkningsanmälan</t>
        </is>
      </c>
      <c r="D15" s="1" t="n">
        <v>46222</v>
      </c>
      <c r="E15" s="1" t="n">
        <v>46222</v>
      </c>
      <c r="F15" t="inlineStr">
        <is>
          <t>Jämtlands län</t>
        </is>
      </c>
      <c r="G15" t="inlineStr">
        <is>
          <t>Berg</t>
        </is>
      </c>
      <c r="I15" t="n">
        <v>61.4</v>
      </c>
      <c r="J15" t="n">
        <v>5</v>
      </c>
      <c r="K15" t="n">
        <v>5</v>
      </c>
      <c r="L15" t="n">
        <v>12</v>
      </c>
      <c r="M15" t="n">
        <v>3</v>
      </c>
      <c r="N15" t="n">
        <v>0</v>
      </c>
      <c r="O15" t="n">
        <v>0</v>
      </c>
      <c r="P15" t="n">
        <v>0</v>
      </c>
      <c r="Q15" t="n">
        <v>15</v>
      </c>
      <c r="R15" t="n">
        <v>3</v>
      </c>
      <c r="S15" t="n">
        <v>23</v>
      </c>
      <c r="T15" t="n">
        <v>74</v>
      </c>
      <c r="U15" s="2" t="inlineStr">
        <is>
          <t>Garnlav
Gränsticka
Knärot
Blå taggsvamp
Gammelgransskål
Kolflarnlav
Lunglav
Mörk kolflarnlav
Skrovellav
Ullticka
Vaddporing
Vedflamlav
Vedskivlav
Vedtrappmossa
Violettgrå tagellav
Bronshjon
Korallblylav
Korallrot
Stuplav
Trådticka
Tjäder
Fläcknycklar
Revlummer</t>
        </is>
      </c>
      <c r="V15">
        <f>HYPERLINK("https://klasma.github.io/Logging_FORSKNINGSRESAN_2023/artfynd/Björnbäcken artfynd.xlsx", "Björnbäcken")</f>
        <v/>
      </c>
      <c r="W15">
        <f>HYPERLINK("https://klasma.github.io/Logging_FORSKNINGSRESAN_2023/kartor/Björnbäcken karta.png", "Björnbäcken")</f>
        <v/>
      </c>
      <c r="X15">
        <f>HYPERLINK("https://klasma.github.io/Logging_FORSKNINGSRESAN_2023/knärot/Björnbäcken karta knärot.png", "Björnbäcken")</f>
        <v/>
      </c>
      <c r="Y15">
        <f>HYPERLINK("https://klasma.github.io/Logging_FORSKNINGSRESAN_2023/klagomål/Björnbäcken FSC-klagomål.docx", "Björnbäcken")</f>
        <v/>
      </c>
      <c r="Z15">
        <f>HYPERLINK("https://klasma.github.io/Logging_FORSKNINGSRESAN_2023/klagomålsmail/Björnbäcken FSC-klagomål mail.docx", "Björnbäcken")</f>
        <v/>
      </c>
      <c r="AA15">
        <f>HYPERLINK("https://klasma.github.io/Logging_FORSKNINGSRESAN_2023/tillsyn/Björnbäcken tillsynsbegäran.docx", "Björnbäcken")</f>
        <v/>
      </c>
      <c r="AB15">
        <f>HYPERLINK("https://klasma.github.io/Logging_FORSKNINGSRESAN_2023/tillsynsmail/Björnbäcken tillsynsbegäran mail.docx", "Björnbäcken")</f>
        <v/>
      </c>
      <c r="AC15">
        <f>HYPERLINK("https://klasma.github.io/Logging_FORSKNINGSRESAN_2023/fåglar/Björnbäcken prioriterade fågelarter.docx", "Björnbäcken")</f>
        <v/>
      </c>
    </row>
    <row r="16" ht="15" customHeight="1">
      <c r="A16" t="inlineStr">
        <is>
          <t>Börsåsen N</t>
        </is>
      </c>
      <c r="B16" t="inlineStr">
        <is>
          <t>avverkningsanmälan</t>
        </is>
      </c>
      <c r="D16" s="1" t="n">
        <v>46222</v>
      </c>
      <c r="E16" s="1" t="n">
        <v>46222</v>
      </c>
      <c r="F16" t="inlineStr">
        <is>
          <t>Jämtlands län</t>
        </is>
      </c>
      <c r="G16" t="inlineStr">
        <is>
          <t>Berg</t>
        </is>
      </c>
      <c r="I16" t="n">
        <v>124.6</v>
      </c>
      <c r="J16" t="n">
        <v>4</v>
      </c>
      <c r="K16" t="n">
        <v>8</v>
      </c>
      <c r="L16" t="n">
        <v>9</v>
      </c>
      <c r="M16" t="n">
        <v>3</v>
      </c>
      <c r="N16" t="n">
        <v>0</v>
      </c>
      <c r="O16" t="n">
        <v>0</v>
      </c>
      <c r="P16" t="n">
        <v>0</v>
      </c>
      <c r="Q16" t="n">
        <v>12</v>
      </c>
      <c r="R16" t="n">
        <v>3</v>
      </c>
      <c r="S16" t="n">
        <v>21</v>
      </c>
      <c r="T16" t="n">
        <v>63</v>
      </c>
      <c r="U16" s="2" t="inlineStr">
        <is>
          <t>Doftticka
Garnlav
Knärot
Blanksvart spiklav
Dropptaggsvamp
Lunglav
Mörk kolflarnlav
Rynkskinn
Skrovellav
Ullticka
Vedflamlav
Vedskivlav
Bårdlav
Korallblylav
Kransrams
Norrlandslav
Spindelblomster
Stor aspticka
Stuplav
Ögonpyrola
Fläcknycklar</t>
        </is>
      </c>
      <c r="V16">
        <f>HYPERLINK("https://klasma.github.io/Logging_FORSKNINGSRESAN_2023/artfynd/Börsåsen N artfynd.xlsx", "Börsåsen N")</f>
        <v/>
      </c>
      <c r="W16">
        <f>HYPERLINK("https://klasma.github.io/Logging_FORSKNINGSRESAN_2023/kartor/Börsåsen N karta.png", "Börsåsen N")</f>
        <v/>
      </c>
      <c r="X16">
        <f>HYPERLINK("https://klasma.github.io/Logging_FORSKNINGSRESAN_2023/knärot/Börsåsen N karta knärot.png", "Börsåsen N")</f>
        <v/>
      </c>
      <c r="Y16">
        <f>HYPERLINK("https://klasma.github.io/Logging_FORSKNINGSRESAN_2023/klagomål/Börsåsen N FSC-klagomål.docx", "Börsåsen N")</f>
        <v/>
      </c>
      <c r="Z16">
        <f>HYPERLINK("https://klasma.github.io/Logging_FORSKNINGSRESAN_2023/klagomålsmail/Börsåsen N FSC-klagomål mail.docx", "Börsåsen N")</f>
        <v/>
      </c>
      <c r="AA16">
        <f>HYPERLINK("https://klasma.github.io/Logging_FORSKNINGSRESAN_2023/tillsyn/Börsåsen N tillsynsbegäran.docx", "Börsåsen N")</f>
        <v/>
      </c>
      <c r="AB16">
        <f>HYPERLINK("https://klasma.github.io/Logging_FORSKNINGSRESAN_2023/tillsynsmail/Börsåsen N tillsynsbegäran mail.docx", "Börsåsen N")</f>
        <v/>
      </c>
    </row>
    <row r="17" ht="15" customHeight="1">
      <c r="A17" t="inlineStr">
        <is>
          <t>Kilkojan</t>
        </is>
      </c>
      <c r="B17" t="inlineStr">
        <is>
          <t>avverkningsanmälan</t>
        </is>
      </c>
      <c r="D17" s="1" t="n">
        <v>46222</v>
      </c>
      <c r="E17" s="1" t="n">
        <v>46222</v>
      </c>
      <c r="F17" t="inlineStr">
        <is>
          <t>Jämtlands län</t>
        </is>
      </c>
      <c r="G17" t="inlineStr">
        <is>
          <t>Berg</t>
        </is>
      </c>
      <c r="I17" t="n">
        <v>162.6</v>
      </c>
      <c r="J17" t="n">
        <v>2</v>
      </c>
      <c r="K17" t="n">
        <v>0</v>
      </c>
      <c r="L17" t="n">
        <v>15</v>
      </c>
      <c r="M17" t="n">
        <v>4</v>
      </c>
      <c r="N17" t="n">
        <v>0</v>
      </c>
      <c r="O17" t="n">
        <v>0</v>
      </c>
      <c r="P17" t="n">
        <v>0</v>
      </c>
      <c r="Q17" t="n">
        <v>19</v>
      </c>
      <c r="R17" t="n">
        <v>4</v>
      </c>
      <c r="S17" t="n">
        <v>19</v>
      </c>
      <c r="T17" t="n">
        <v>56</v>
      </c>
      <c r="U17" s="2" t="inlineStr">
        <is>
          <t>Doftticka
Fläckporing
Garnlav
Gräddporing
Blanksvart spiklav
Blågrå svartspik
Dvärgbägarlav
Knottrig blåslav
Kolflarnlav
Kortskaftad ärgspik
Lunglav
Mörk kolflarnlav
Nordtagging
Skrovellav
Tretåig hackspett
Vedflamlav
Vedtrappmossa
Violettgrå tagellav
Vitplätt</t>
        </is>
      </c>
      <c r="V17">
        <f>HYPERLINK("https://klasma.github.io/Logging_FORSKNINGSRESAN_2023/artfynd/Kilkojan artfynd.xlsx", "Kilkojan")</f>
        <v/>
      </c>
      <c r="W17">
        <f>HYPERLINK("https://klasma.github.io/Logging_FORSKNINGSRESAN_2023/kartor/Kilkojan karta.png", "Kilkojan")</f>
        <v/>
      </c>
      <c r="Y17">
        <f>HYPERLINK("https://klasma.github.io/Logging_FORSKNINGSRESAN_2023/klagomål/Kilkojan FSC-klagomål.docx", "Kilkojan")</f>
        <v/>
      </c>
      <c r="Z17">
        <f>HYPERLINK("https://klasma.github.io/Logging_FORSKNINGSRESAN_2023/klagomålsmail/Kilkojan FSC-klagomål mail.docx", "Kilkojan")</f>
        <v/>
      </c>
      <c r="AA17">
        <f>HYPERLINK("https://klasma.github.io/Logging_FORSKNINGSRESAN_2023/tillsyn/Kilkojan tillsynsbegäran.docx", "Kilkojan")</f>
        <v/>
      </c>
      <c r="AB17">
        <f>HYPERLINK("https://klasma.github.io/Logging_FORSKNINGSRESAN_2023/tillsynsmail/Kilkojan tillsynsbegäran mail.docx", "Kilkojan")</f>
        <v/>
      </c>
      <c r="AC17">
        <f>HYPERLINK("https://klasma.github.io/Logging_FORSKNINGSRESAN_2023/fåglar/Kilkojan prioriterade fågelarter.docx", "Kilkojan")</f>
        <v/>
      </c>
    </row>
    <row r="18" ht="15" customHeight="1">
      <c r="A18" t="inlineStr">
        <is>
          <t>Kölavallhöjden</t>
        </is>
      </c>
      <c r="B18" t="inlineStr">
        <is>
          <t>avverkningsanmälan</t>
        </is>
      </c>
      <c r="D18" s="1" t="n">
        <v>46222</v>
      </c>
      <c r="E18" s="1" t="n">
        <v>46222</v>
      </c>
      <c r="F18" t="inlineStr">
        <is>
          <t>Jämtlands län</t>
        </is>
      </c>
      <c r="G18" t="inlineStr">
        <is>
          <t>Berg</t>
        </is>
      </c>
      <c r="I18" t="n">
        <v>57.8</v>
      </c>
      <c r="J18" t="n">
        <v>3</v>
      </c>
      <c r="K18" t="n">
        <v>5</v>
      </c>
      <c r="L18" t="n">
        <v>8</v>
      </c>
      <c r="M18" t="n">
        <v>2</v>
      </c>
      <c r="N18" t="n">
        <v>0</v>
      </c>
      <c r="O18" t="n">
        <v>0</v>
      </c>
      <c r="P18" t="n">
        <v>0</v>
      </c>
      <c r="Q18" t="n">
        <v>10</v>
      </c>
      <c r="R18" t="n">
        <v>2</v>
      </c>
      <c r="S18" t="n">
        <v>16</v>
      </c>
      <c r="T18" t="n">
        <v>36</v>
      </c>
      <c r="U18" s="2" t="inlineStr">
        <is>
          <t>Doftticka
Knärot
Doftskinn
Lunglav
Rosenticka
Rynkskinn
Stiftgelélav
Stjärntagging
Ullticka
Vitgrynig nållav
Bårdlav
Korallblylav
Stor aspticka
Stuplav
Vågbandad barkbock
Tjäder</t>
        </is>
      </c>
      <c r="V18">
        <f>HYPERLINK("https://klasma.github.io/Logging_FORSKNINGSRESAN_2023/artfynd/Kölavallhöjden artfynd.xlsx", "Kölavallhöjden")</f>
        <v/>
      </c>
      <c r="W18">
        <f>HYPERLINK("https://klasma.github.io/Logging_FORSKNINGSRESAN_2023/kartor/Kölavallhöjden karta.png", "Kölavallhöjden")</f>
        <v/>
      </c>
      <c r="X18">
        <f>HYPERLINK("https://klasma.github.io/Logging_FORSKNINGSRESAN_2023/knärot/Kölavallhöjden karta knärot.png", "Kölavallhöjden")</f>
        <v/>
      </c>
      <c r="Y18">
        <f>HYPERLINK("https://klasma.github.io/Logging_FORSKNINGSRESAN_2023/klagomål/Kölavallhöjden FSC-klagomål.docx", "Kölavallhöjden")</f>
        <v/>
      </c>
      <c r="Z18">
        <f>HYPERLINK("https://klasma.github.io/Logging_FORSKNINGSRESAN_2023/klagomålsmail/Kölavallhöjden FSC-klagomål mail.docx", "Kölavallhöjden")</f>
        <v/>
      </c>
      <c r="AA18">
        <f>HYPERLINK("https://klasma.github.io/Logging_FORSKNINGSRESAN_2023/tillsyn/Kölavallhöjden tillsynsbegäran.docx", "Kölavallhöjden")</f>
        <v/>
      </c>
      <c r="AB18">
        <f>HYPERLINK("https://klasma.github.io/Logging_FORSKNINGSRESAN_2023/tillsynsmail/Kölavallhöjden tillsynsbegäran mail.docx", "Kölavallhöjden")</f>
        <v/>
      </c>
      <c r="AC18">
        <f>HYPERLINK("https://klasma.github.io/Logging_FORSKNINGSRESAN_2023/fåglar/Kölavallhöjden prioriterade fågelarter.docx", "Kölavallhöjden")</f>
        <v/>
      </c>
    </row>
    <row r="19" ht="15" customHeight="1">
      <c r="A19" t="inlineStr">
        <is>
          <t>Trollkärringberget</t>
        </is>
      </c>
      <c r="B19" t="inlineStr">
        <is>
          <t>avverkningsanmälan</t>
        </is>
      </c>
      <c r="D19" s="1" t="n">
        <v>46222</v>
      </c>
      <c r="E19" s="1" t="n">
        <v>46222</v>
      </c>
      <c r="F19" t="inlineStr">
        <is>
          <t>Jämtlands län</t>
        </is>
      </c>
      <c r="G19" t="inlineStr">
        <is>
          <t>Berg</t>
        </is>
      </c>
      <c r="I19" t="n">
        <v>18.8</v>
      </c>
      <c r="J19" t="n">
        <v>3</v>
      </c>
      <c r="K19" t="n">
        <v>6</v>
      </c>
      <c r="L19" t="n">
        <v>6</v>
      </c>
      <c r="M19" t="n">
        <v>3</v>
      </c>
      <c r="N19" t="n">
        <v>0</v>
      </c>
      <c r="O19" t="n">
        <v>0</v>
      </c>
      <c r="P19" t="n">
        <v>0</v>
      </c>
      <c r="Q19" t="n">
        <v>9</v>
      </c>
      <c r="R19" t="n">
        <v>3</v>
      </c>
      <c r="S19" t="n">
        <v>16</v>
      </c>
      <c r="T19" t="n">
        <v>39</v>
      </c>
      <c r="U19" s="2" t="inlineStr">
        <is>
          <t>Garnlav
Knärot
Vitskaftad svartspik
Doftskinn
Lunglav
Rosenticka
Rynkskinn
Ullticka
Violettgrå tagellav
Bronshjon
Luddlav
Spindelblomster
Stor aspticka
Vedticka
Vågbandad barkbock
Nattviol</t>
        </is>
      </c>
      <c r="V19">
        <f>HYPERLINK("https://klasma.github.io/Logging_FORSKNINGSRESAN_2023/artfynd/Trollkärringberget artfynd.xlsx", "Trollkärringberget")</f>
        <v/>
      </c>
      <c r="W19">
        <f>HYPERLINK("https://klasma.github.io/Logging_FORSKNINGSRESAN_2023/kartor/Trollkärringberget karta.png", "Trollkärringberget")</f>
        <v/>
      </c>
      <c r="X19">
        <f>HYPERLINK("https://klasma.github.io/Logging_FORSKNINGSRESAN_2023/knärot/Trollkärringberget karta knärot.png", "Trollkärringberget")</f>
        <v/>
      </c>
      <c r="Y19">
        <f>HYPERLINK("https://klasma.github.io/Logging_FORSKNINGSRESAN_2023/klagomål/Trollkärringberget FSC-klagomål.docx", "Trollkärringberget")</f>
        <v/>
      </c>
      <c r="Z19">
        <f>HYPERLINK("https://klasma.github.io/Logging_FORSKNINGSRESAN_2023/klagomålsmail/Trollkärringberget FSC-klagomål mail.docx", "Trollkärringberget")</f>
        <v/>
      </c>
      <c r="AA19">
        <f>HYPERLINK("https://klasma.github.io/Logging_FORSKNINGSRESAN_2023/tillsyn/Trollkärringberget tillsynsbegäran.docx", "Trollkärringberget")</f>
        <v/>
      </c>
      <c r="AB19">
        <f>HYPERLINK("https://klasma.github.io/Logging_FORSKNINGSRESAN_2023/tillsynsmail/Trollkärringberget tillsynsbegäran mail.docx", "Trollkärringberget")</f>
        <v/>
      </c>
    </row>
    <row r="20" ht="15" customHeight="1">
      <c r="A20" t="inlineStr">
        <is>
          <t>Nils-Andersknulen N</t>
        </is>
      </c>
      <c r="B20" t="inlineStr">
        <is>
          <t>avverkningsanmälan</t>
        </is>
      </c>
      <c r="D20" s="1" t="n">
        <v>46222</v>
      </c>
      <c r="E20" s="1" t="n">
        <v>46222</v>
      </c>
      <c r="F20" t="inlineStr">
        <is>
          <t>Jämtlands län</t>
        </is>
      </c>
      <c r="G20" t="inlineStr">
        <is>
          <t>Berg</t>
        </is>
      </c>
      <c r="I20" t="n">
        <v>45.3</v>
      </c>
      <c r="J20" t="n">
        <v>1</v>
      </c>
      <c r="K20" t="n">
        <v>3</v>
      </c>
      <c r="L20" t="n">
        <v>6</v>
      </c>
      <c r="M20" t="n">
        <v>2</v>
      </c>
      <c r="N20" t="n">
        <v>0</v>
      </c>
      <c r="O20" t="n">
        <v>0</v>
      </c>
      <c r="P20" t="n">
        <v>0</v>
      </c>
      <c r="Q20" t="n">
        <v>8</v>
      </c>
      <c r="R20" t="n">
        <v>2</v>
      </c>
      <c r="S20" t="n">
        <v>11</v>
      </c>
      <c r="T20" t="n">
        <v>12</v>
      </c>
      <c r="U20" s="2" t="inlineStr">
        <is>
          <t>Blackticka
Gränsticka
Gammelgransskål
Harticka
Lavskrika
Lunglav
Skrovellav
Ullticka
Kambräken
Svavelriska
Vedticka</t>
        </is>
      </c>
      <c r="V20">
        <f>HYPERLINK("https://klasma.github.io/Logging_FORSKNINGSRESAN_2023/artfynd/Nils-Andersknulen N artfynd.xlsx", "Nils-Andersknulen N")</f>
        <v/>
      </c>
      <c r="W20">
        <f>HYPERLINK("https://klasma.github.io/Logging_FORSKNINGSRESAN_2023/kartor/Nils-Andersknulen N karta.png", "Nils-Andersknulen N")</f>
        <v/>
      </c>
      <c r="Y20">
        <f>HYPERLINK("https://klasma.github.io/Logging_FORSKNINGSRESAN_2023/klagomål/Nils-Andersknulen N FSC-klagomål.docx", "Nils-Andersknulen N")</f>
        <v/>
      </c>
      <c r="Z20">
        <f>HYPERLINK("https://klasma.github.io/Logging_FORSKNINGSRESAN_2023/klagomålsmail/Nils-Andersknulen N FSC-klagomål mail.docx", "Nils-Andersknulen N")</f>
        <v/>
      </c>
      <c r="AA20">
        <f>HYPERLINK("https://klasma.github.io/Logging_FORSKNINGSRESAN_2023/tillsyn/Nils-Andersknulen N tillsynsbegäran.docx", "Nils-Andersknulen N")</f>
        <v/>
      </c>
      <c r="AB20">
        <f>HYPERLINK("https://klasma.github.io/Logging_FORSKNINGSRESAN_2023/tillsynsmail/Nils-Andersknulen N tillsynsbegäran mail.docx", "Nils-Andersknulen N")</f>
        <v/>
      </c>
      <c r="AC20">
        <f>HYPERLINK("https://klasma.github.io/Logging_FORSKNINGSRESAN_2023/fåglar/Nils-Andersknulen N prioriterade fågelarter.docx", "Nils-Andersknulen N")</f>
        <v/>
      </c>
    </row>
    <row r="21" ht="15" customHeight="1">
      <c r="A21" t="inlineStr">
        <is>
          <t>Blåtjärnen</t>
        </is>
      </c>
      <c r="B21" t="inlineStr">
        <is>
          <t>avverkningsanmälan</t>
        </is>
      </c>
      <c r="D21" s="1" t="n">
        <v>46222</v>
      </c>
      <c r="E21" s="1" t="n">
        <v>46222</v>
      </c>
      <c r="F21" t="inlineStr">
        <is>
          <t>Jämtlands län</t>
        </is>
      </c>
      <c r="G21" t="inlineStr">
        <is>
          <t>Berg</t>
        </is>
      </c>
      <c r="I21" t="n">
        <v>94.09999999999999</v>
      </c>
      <c r="J21" t="n">
        <v>2</v>
      </c>
      <c r="K21" t="n">
        <v>2</v>
      </c>
      <c r="L21" t="n">
        <v>4</v>
      </c>
      <c r="M21" t="n">
        <v>1</v>
      </c>
      <c r="N21" t="n">
        <v>0</v>
      </c>
      <c r="O21" t="n">
        <v>0</v>
      </c>
      <c r="P21" t="n">
        <v>0</v>
      </c>
      <c r="Q21" t="n">
        <v>5</v>
      </c>
      <c r="R21" t="n">
        <v>1</v>
      </c>
      <c r="S21" t="n">
        <v>8</v>
      </c>
      <c r="T21" t="n">
        <v>18</v>
      </c>
      <c r="U21" s="2" t="inlineStr">
        <is>
          <t>Knärot
Dvärgbägarlav
Lunglav
Reliktbock
Vitplätt
Grönpyrola
Stuplav
Tjäder</t>
        </is>
      </c>
      <c r="V21">
        <f>HYPERLINK("https://klasma.github.io/Logging_FORSKNINGSRESAN_2023/artfynd/Blåtjärnen artfynd.xlsx", "Blåtjärnen")</f>
        <v/>
      </c>
      <c r="W21">
        <f>HYPERLINK("https://klasma.github.io/Logging_FORSKNINGSRESAN_2023/kartor/Blåtjärnen karta.png", "Blåtjärnen")</f>
        <v/>
      </c>
      <c r="X21">
        <f>HYPERLINK("https://klasma.github.io/Logging_FORSKNINGSRESAN_2023/knärot/Blåtjärnen karta knärot.png", "Blåtjärnen")</f>
        <v/>
      </c>
      <c r="Y21">
        <f>HYPERLINK("https://klasma.github.io/Logging_FORSKNINGSRESAN_2023/klagomål/Blåtjärnen FSC-klagomål.docx", "Blåtjärnen")</f>
        <v/>
      </c>
      <c r="Z21">
        <f>HYPERLINK("https://klasma.github.io/Logging_FORSKNINGSRESAN_2023/klagomålsmail/Blåtjärnen FSC-klagomål mail.docx", "Blåtjärnen")</f>
        <v/>
      </c>
      <c r="AA21">
        <f>HYPERLINK("https://klasma.github.io/Logging_FORSKNINGSRESAN_2023/tillsyn/Blåtjärnen tillsynsbegäran.docx", "Blåtjärnen")</f>
        <v/>
      </c>
      <c r="AB21">
        <f>HYPERLINK("https://klasma.github.io/Logging_FORSKNINGSRESAN_2023/tillsynsmail/Blåtjärnen tillsynsbegäran mail.docx", "Blåtjärnen")</f>
        <v/>
      </c>
      <c r="AC21">
        <f>HYPERLINK("https://klasma.github.io/Logging_FORSKNINGSRESAN_2023/fåglar/Blåtjärnen prioriterade fågelarter.docx", "Blåtjärnen")</f>
        <v/>
      </c>
    </row>
    <row r="22" ht="15" customHeight="1">
      <c r="A22" t="inlineStr">
        <is>
          <t>Sjättnäsbäcken SCA</t>
        </is>
      </c>
      <c r="B22" t="inlineStr">
        <is>
          <t>avverkningsanmälan</t>
        </is>
      </c>
      <c r="D22" s="1" t="n">
        <v>46222</v>
      </c>
      <c r="E22" s="1" t="n">
        <v>46222</v>
      </c>
      <c r="F22" t="inlineStr">
        <is>
          <t>Jämtlands län</t>
        </is>
      </c>
      <c r="G22" t="inlineStr">
        <is>
          <t>Berg</t>
        </is>
      </c>
      <c r="I22" t="n">
        <v>35.4</v>
      </c>
      <c r="J22" t="n">
        <v>1</v>
      </c>
      <c r="K22" t="n">
        <v>3</v>
      </c>
      <c r="L22" t="n">
        <v>3</v>
      </c>
      <c r="M22" t="n">
        <v>1</v>
      </c>
      <c r="N22" t="n">
        <v>0</v>
      </c>
      <c r="O22" t="n">
        <v>0</v>
      </c>
      <c r="P22" t="n">
        <v>0</v>
      </c>
      <c r="Q22" t="n">
        <v>4</v>
      </c>
      <c r="R22" t="n">
        <v>1</v>
      </c>
      <c r="S22" t="n">
        <v>7</v>
      </c>
      <c r="T22" t="n">
        <v>8</v>
      </c>
      <c r="U22" s="2" t="inlineStr">
        <is>
          <t>Garnlav
Lunglav
Skrovellav
Vitgrynig nållav
Bårdlav
Spindelblomster
Stuplav</t>
        </is>
      </c>
      <c r="V22">
        <f>HYPERLINK("https://klasma.github.io/Logging_FORSKNINGSRESAN_2023/artfynd/Sjättnäsbäcken SCA artfynd.xlsx", "Sjättnäsbäcken SCA")</f>
        <v/>
      </c>
      <c r="W22">
        <f>HYPERLINK("https://klasma.github.io/Logging_FORSKNINGSRESAN_2023/kartor/Sjättnäsbäcken SCA karta.png", "Sjättnäsbäcken SCA")</f>
        <v/>
      </c>
      <c r="Y22">
        <f>HYPERLINK("https://klasma.github.io/Logging_FORSKNINGSRESAN_2023/klagomål/Sjättnäsbäcken SCA FSC-klagomål.docx", "Sjättnäsbäcken SCA")</f>
        <v/>
      </c>
      <c r="Z22">
        <f>HYPERLINK("https://klasma.github.io/Logging_FORSKNINGSRESAN_2023/klagomålsmail/Sjättnäsbäcken SCA FSC-klagomål mail.docx", "Sjättnäsbäcken SCA")</f>
        <v/>
      </c>
      <c r="AA22">
        <f>HYPERLINK("https://klasma.github.io/Logging_FORSKNINGSRESAN_2023/tillsyn/Sjättnäsbäcken SCA tillsynsbegäran.docx", "Sjättnäsbäcken SCA")</f>
        <v/>
      </c>
      <c r="AB22">
        <f>HYPERLINK("https://klasma.github.io/Logging_FORSKNINGSRESAN_2023/tillsynsmail/Sjättnäsbäcken SCA tillsynsbegäran mail.docx", "Sjättnäsbäcken SCA")</f>
        <v/>
      </c>
    </row>
    <row r="23" ht="15" customHeight="1">
      <c r="A23" t="inlineStr">
        <is>
          <t>Rammsjöberget V Sveaskog</t>
        </is>
      </c>
      <c r="B23" t="inlineStr">
        <is>
          <t>avverkningsanmälan</t>
        </is>
      </c>
      <c r="D23" s="1" t="n">
        <v>46222</v>
      </c>
      <c r="E23" s="1" t="n">
        <v>46222</v>
      </c>
      <c r="F23" t="inlineStr">
        <is>
          <t>Jämtlands län</t>
        </is>
      </c>
      <c r="G23" t="inlineStr">
        <is>
          <t>Berg</t>
        </is>
      </c>
      <c r="I23" t="n">
        <v>81.2</v>
      </c>
      <c r="J23" t="n">
        <v>1</v>
      </c>
      <c r="K23" t="n">
        <v>1</v>
      </c>
      <c r="L23" t="n">
        <v>3</v>
      </c>
      <c r="M23" t="n">
        <v>2</v>
      </c>
      <c r="N23" t="n">
        <v>0</v>
      </c>
      <c r="O23" t="n">
        <v>0</v>
      </c>
      <c r="P23" t="n">
        <v>0</v>
      </c>
      <c r="Q23" t="n">
        <v>5</v>
      </c>
      <c r="R23" t="n">
        <v>2</v>
      </c>
      <c r="S23" t="n">
        <v>6</v>
      </c>
      <c r="T23" t="n">
        <v>10</v>
      </c>
      <c r="U23" s="2" t="inlineStr">
        <is>
          <t>Garnlav
Knärot
Lunglav
Skrovellav
Vitgrynig nållav
Blodticka</t>
        </is>
      </c>
      <c r="V23">
        <f>HYPERLINK("https://klasma.github.io/Logging_FORSKNINGSRESAN_2023/artfynd/Rammsjöberget V Sveaskog artfynd.xlsx", "Rammsjöberget V Sveaskog")</f>
        <v/>
      </c>
      <c r="W23">
        <f>HYPERLINK("https://klasma.github.io/Logging_FORSKNINGSRESAN_2023/kartor/Rammsjöberget V Sveaskog karta.png", "Rammsjöberget V Sveaskog")</f>
        <v/>
      </c>
      <c r="X23">
        <f>HYPERLINK("https://klasma.github.io/Logging_FORSKNINGSRESAN_2023/knärot/Rammsjöberget V Sveaskog karta knärot.png", "Rammsjöberget V Sveaskog")</f>
        <v/>
      </c>
      <c r="Y23">
        <f>HYPERLINK("https://klasma.github.io/Logging_FORSKNINGSRESAN_2023/klagomål/Rammsjöberget V Sveaskog FSC-klagomål.docx", "Rammsjöberget V Sveaskog")</f>
        <v/>
      </c>
      <c r="Z23">
        <f>HYPERLINK("https://klasma.github.io/Logging_FORSKNINGSRESAN_2023/klagomålsmail/Rammsjöberget V Sveaskog FSC-klagomål mail.docx", "Rammsjöberget V Sveaskog")</f>
        <v/>
      </c>
      <c r="AA23">
        <f>HYPERLINK("https://klasma.github.io/Logging_FORSKNINGSRESAN_2023/tillsyn/Rammsjöberget V Sveaskog tillsynsbegäran.docx", "Rammsjöberget V Sveaskog")</f>
        <v/>
      </c>
      <c r="AB23">
        <f>HYPERLINK("https://klasma.github.io/Logging_FORSKNINGSRESAN_2023/tillsynsmail/Rammsjöberget V Sveaskog tillsynsbegäran mail.docx", "Rammsjöberget V Sveaskog")</f>
        <v/>
      </c>
    </row>
    <row r="24">
      <c r="A24" t="inlineStr">
        <is>
          <t>Horten NV</t>
        </is>
      </c>
      <c r="B24" t="inlineStr">
        <is>
          <t>avverkningsanmälan</t>
        </is>
      </c>
      <c r="D24" s="1" t="n">
        <v>46222</v>
      </c>
      <c r="E24" s="1" t="n">
        <v>46222</v>
      </c>
      <c r="F24" t="inlineStr">
        <is>
          <t>Jämtlands län</t>
        </is>
      </c>
      <c r="G24" t="inlineStr">
        <is>
          <t>Berg</t>
        </is>
      </c>
      <c r="I24" t="n">
        <v>86.2</v>
      </c>
      <c r="J24" t="n">
        <v>0</v>
      </c>
      <c r="K24" t="n">
        <v>0</v>
      </c>
      <c r="L24" t="n">
        <v>0</v>
      </c>
      <c r="M24" t="n">
        <v>0</v>
      </c>
      <c r="N24" t="n">
        <v>0</v>
      </c>
      <c r="O24" t="n">
        <v>0</v>
      </c>
      <c r="P24" t="n">
        <v>0</v>
      </c>
      <c r="Q24" t="n">
        <v>0</v>
      </c>
      <c r="R24" t="n">
        <v>0</v>
      </c>
      <c r="S24" t="n">
        <v>0</v>
      </c>
      <c r="T24" t="n">
        <v>0</v>
      </c>
      <c r="U2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2026-07-19T12:00:25Z</dcterms:created>
  <dcterms:modified xmlns:dcterms="http://purl.org/dc/terms/" xmlns:xsi="http://www.w3.org/2001/XMLSchema-instance" xsi:type="dcterms:W3CDTF">2026-07-19T12:00:25Z</dcterms:modified>
</cp:coreProperties>
</file>