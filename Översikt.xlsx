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Börsåsen N</t>
        </is>
      </c>
      <c r="B16" t="inlineStr">
        <is>
          <t>avverkningsanmälan</t>
        </is>
      </c>
      <c r="D16" s="1" t="n">
        <v>46222</v>
      </c>
      <c r="E16" s="1" t="n">
        <v>46222</v>
      </c>
      <c r="F16" t="inlineStr">
        <is>
          <t>Jämtlands län</t>
        </is>
      </c>
      <c r="G16" t="inlineStr">
        <is>
          <t>Berg</t>
        </is>
      </c>
      <c r="I16" t="n">
        <v>124.6</v>
      </c>
      <c r="J16" t="n">
        <v>4</v>
      </c>
      <c r="K16" t="n">
        <v>8</v>
      </c>
      <c r="L16" t="n">
        <v>9</v>
      </c>
      <c r="M16" t="n">
        <v>3</v>
      </c>
      <c r="N16" t="n">
        <v>0</v>
      </c>
      <c r="O16" t="n">
        <v>0</v>
      </c>
      <c r="P16" t="n">
        <v>0</v>
      </c>
      <c r="Q16" t="n">
        <v>12</v>
      </c>
      <c r="R16" t="n">
        <v>3</v>
      </c>
      <c r="S16" t="n">
        <v>21</v>
      </c>
      <c r="T16" t="n">
        <v>63</v>
      </c>
      <c r="U16" s="2" t="inlineStr">
        <is>
          <t>Doftticka
Garnlav
Knärot
Blanksvart spiklav
Dropptaggsvamp
Lunglav
Mörk kolflarnlav
Rynkskinn
Skrovellav
Ullticka
Vedflamlav
Vedskivlav
Bårdlav
Korallblylav
Kransrams
Norrlandslav
Spindelblomster
Stor aspticka
Stuplav
Ögonpyrola
Fläcknycklar</t>
        </is>
      </c>
      <c r="V16">
        <f>HYPERLINK("https://klasma.github.io/Logging_FORSKNINGSRESAN_2023/artfynd/Börsåsen N artfynd.xlsx", "Börsåsen N")</f>
        <v/>
      </c>
      <c r="W16">
        <f>HYPERLINK("https://klasma.github.io/Logging_FORSKNINGSRESAN_2023/kartor/Börsåsen N karta.png", "Börsåsen N")</f>
        <v/>
      </c>
      <c r="X16">
        <f>HYPERLINK("https://klasma.github.io/Logging_FORSKNINGSRESAN_2023/knärot/Börsåsen N karta knärot.png", "Börsåsen N")</f>
        <v/>
      </c>
      <c r="Y16">
        <f>HYPERLINK("https://klasma.github.io/Logging_FORSKNINGSRESAN_2023/klagomål/Börsåsen N FSC-klagomål.docx", "Börsåsen N")</f>
        <v/>
      </c>
      <c r="Z16">
        <f>HYPERLINK("https://klasma.github.io/Logging_FORSKNINGSRESAN_2023/klagomålsmail/Börsåsen N FSC-klagomål mail.docx", "Börsåsen N")</f>
        <v/>
      </c>
      <c r="AA16">
        <f>HYPERLINK("https://klasma.github.io/Logging_FORSKNINGSRESAN_2023/tillsyn/Börsåsen N tillsynsbegäran.docx", "Börsåsen N")</f>
        <v/>
      </c>
      <c r="AB16">
        <f>HYPERLINK("https://klasma.github.io/Logging_FORSKNINGSRESAN_2023/tillsynsmail/Börsåsen N tillsynsbegäran mail.docx", "Börsåsen N")</f>
        <v/>
      </c>
    </row>
    <row r="17" ht="15" customHeight="1">
      <c r="A17" t="inlineStr">
        <is>
          <t>Kilkojan</t>
        </is>
      </c>
      <c r="B17" t="inlineStr">
        <is>
          <t>avverkningsanmälan</t>
        </is>
      </c>
      <c r="D17" s="1" t="n">
        <v>46222</v>
      </c>
      <c r="E17" s="1" t="n">
        <v>46222</v>
      </c>
      <c r="F17" t="inlineStr">
        <is>
          <t>Jämtlands län</t>
        </is>
      </c>
      <c r="G17" t="inlineStr">
        <is>
          <t>Berg</t>
        </is>
      </c>
      <c r="I17" t="n">
        <v>162.6</v>
      </c>
      <c r="J17" t="n">
        <v>2</v>
      </c>
      <c r="K17" t="n">
        <v>0</v>
      </c>
      <c r="L17" t="n">
        <v>15</v>
      </c>
      <c r="M17" t="n">
        <v>4</v>
      </c>
      <c r="N17" t="n">
        <v>0</v>
      </c>
      <c r="O17" t="n">
        <v>0</v>
      </c>
      <c r="P17" t="n">
        <v>0</v>
      </c>
      <c r="Q17" t="n">
        <v>19</v>
      </c>
      <c r="R17" t="n">
        <v>4</v>
      </c>
      <c r="S17" t="n">
        <v>19</v>
      </c>
      <c r="T17" t="n">
        <v>56</v>
      </c>
      <c r="U17"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7">
        <f>HYPERLINK("https://klasma.github.io/Logging_FORSKNINGSRESAN_2023/artfynd/Kilkojan artfynd.xlsx", "Kilkojan")</f>
        <v/>
      </c>
      <c r="W17">
        <f>HYPERLINK("https://klasma.github.io/Logging_FORSKNINGSRESAN_2023/kartor/Kilkojan karta.png", "Kilkojan")</f>
        <v/>
      </c>
      <c r="Y17">
        <f>HYPERLINK("https://klasma.github.io/Logging_FORSKNINGSRESAN_2023/klagomål/Kilkojan FSC-klagomål.docx", "Kilkojan")</f>
        <v/>
      </c>
      <c r="Z17">
        <f>HYPERLINK("https://klasma.github.io/Logging_FORSKNINGSRESAN_2023/klagomålsmail/Kilkojan FSC-klagomål mail.docx", "Kilkojan")</f>
        <v/>
      </c>
      <c r="AA17">
        <f>HYPERLINK("https://klasma.github.io/Logging_FORSKNINGSRESAN_2023/tillsyn/Kilkojan tillsynsbegäran.docx", "Kilkojan")</f>
        <v/>
      </c>
      <c r="AB17">
        <f>HYPERLINK("https://klasma.github.io/Logging_FORSKNINGSRESAN_2023/tillsynsmail/Kilkojan tillsynsbegäran mail.docx", "Kilkojan")</f>
        <v/>
      </c>
      <c r="AC17">
        <f>HYPERLINK("https://klasma.github.io/Logging_FORSKNINGSRESAN_2023/fåglar/Kilkojan prioriterade fågelarter.docx", "Kilkojan")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2026-07-19T05:50:21Z</dcterms:created>
  <dcterms:modified xmlns:dcterms="http://purl.org/dc/terms/" xmlns:xsi="http://www.w3.org/2001/XMLSchema-instance" xsi:type="dcterms:W3CDTF">2026-07-19T05:50:21Z</dcterms:modified>
</cp:coreProperties>
</file>