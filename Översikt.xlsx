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HYPERLINK("https://klasma.github.io/Logging_FORSKNINGSRESAN_2023/kartor_geotiff/Horten Sultentjärnen georefererad karta.tif", "Horten Sultentjärnen")</f>
        <v/>
      </c>
      <c r="Y5">
        <f>HYPERLINK("https://klasma.github.io/Logging_FORSKNINGSRESAN_2023/knärot/Horten Sultentjärnen karta knärot.png", "Horten Sultentjärnen")</f>
        <v/>
      </c>
      <c r="Z5">
        <f>HYPERLINK("https://klasma.github.io/Logging_FORSKNINGSRESAN_2023/klagomål/Horten Sultentjärnen FSC-klagomål.docx", "Horten Sultentjärnen")</f>
        <v/>
      </c>
      <c r="AA5">
        <f>HYPERLINK("https://klasma.github.io/Logging_FORSKNINGSRESAN_2023/klagomålsmail/Horten Sultentjärnen FSC-klagomål mail.docx", "Horten Sultentjärnen")</f>
        <v/>
      </c>
      <c r="AB5">
        <f>HYPERLINK("https://klasma.github.io/Logging_FORSKNINGSRESAN_2023/tillsyn/Horten Sultentjärnen tillsynsbegäran.docx", "Horten Sultentjärnen")</f>
        <v/>
      </c>
      <c r="AC5">
        <f>HYPERLINK("https://klasma.github.io/Logging_FORSKNINGSRESAN_2023/tillsynsmail/Horten Sultentjärnen tillsynsbegäran mail.docx", "Horten Sultentjärnen")</f>
        <v/>
      </c>
      <c r="AD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HYPERLINK("https://klasma.github.io/Logging_FORSKNINGSRESAN_2023/kartor_geotiff/Hundtjärnbrännan georefererad karta.tif", "Hundtjärnbrännan")</f>
        <v/>
      </c>
      <c r="Y6">
        <f>HYPERLINK("https://klasma.github.io/Logging_FORSKNINGSRESAN_2023/knärot/Hundtjärnbrännan karta knärot.png", "Hundtjärnbrännan")</f>
        <v/>
      </c>
      <c r="Z6">
        <f>HYPERLINK("https://klasma.github.io/Logging_FORSKNINGSRESAN_2023/klagomål/Hundtjärnbrännan FSC-klagomål.docx", "Hundtjärnbrännan")</f>
        <v/>
      </c>
      <c r="AA6">
        <f>HYPERLINK("https://klasma.github.io/Logging_FORSKNINGSRESAN_2023/klagomålsmail/Hundtjärnbrännan FSC-klagomål mail.docx", "Hundtjärnbrännan")</f>
        <v/>
      </c>
      <c r="AB6">
        <f>HYPERLINK("https://klasma.github.io/Logging_FORSKNINGSRESAN_2023/tillsyn/Hundtjärnbrännan tillsynsbegäran.docx", "Hundtjärnbrännan")</f>
        <v/>
      </c>
      <c r="AC6">
        <f>HYPERLINK("https://klasma.github.io/Logging_FORSKNINGSRESAN_2023/tillsynsmail/Hundtjärnbrännan tillsynsbegäran mail.docx", "Hundtjärnbrännan")</f>
        <v/>
      </c>
      <c r="AD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HYPERLINK("https://klasma.github.io/Logging_FORSKNINGSRESAN_2023/kartor_geotiff/Länken Vitalmen georefererad karta.tif", "Länken Vitalmen")</f>
        <v/>
      </c>
      <c r="Y7">
        <f>HYPERLINK("https://klasma.github.io/Logging_FORSKNINGSRESAN_2023/knärot/Länken Vitalmen karta knärot.png", "Länken Vitalmen")</f>
        <v/>
      </c>
      <c r="Z7">
        <f>HYPERLINK("https://klasma.github.io/Logging_FORSKNINGSRESAN_2023/klagomål/Länken Vitalmen FSC-klagomål.docx", "Länken Vitalmen")</f>
        <v/>
      </c>
      <c r="AA7">
        <f>HYPERLINK("https://klasma.github.io/Logging_FORSKNINGSRESAN_2023/klagomålsmail/Länken Vitalmen FSC-klagomål mail.docx", "Länken Vitalmen")</f>
        <v/>
      </c>
      <c r="AB7">
        <f>HYPERLINK("https://klasma.github.io/Logging_FORSKNINGSRESAN_2023/tillsyn/Länken Vitalmen tillsynsbegäran.docx", "Länken Vitalmen")</f>
        <v/>
      </c>
      <c r="AC7">
        <f>HYPERLINK("https://klasma.github.io/Logging_FORSKNINGSRESAN_2023/tillsynsmail/Länken Vitalmen tillsynsbegäran mail.docx", "Länken Vitalmen")</f>
        <v/>
      </c>
      <c r="AD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X8">
        <f>HYPERLINK("https://klasma.github.io/Logging_FORSKNINGSRESAN_2023/kartor_geotiff/Gräsmyren georefererad karta.tif", "Gräsmyren")</f>
        <v/>
      </c>
      <c r="Z8">
        <f>HYPERLINK("https://klasma.github.io/Logging_FORSKNINGSRESAN_2023/klagomål/Gräsmyren FSC-klagomål.docx", "Gräsmyren")</f>
        <v/>
      </c>
      <c r="AA8">
        <f>HYPERLINK("https://klasma.github.io/Logging_FORSKNINGSRESAN_2023/klagomålsmail/Gräsmyren FSC-klagomål mail.docx", "Gräsmyren")</f>
        <v/>
      </c>
      <c r="AB8">
        <f>HYPERLINK("https://klasma.github.io/Logging_FORSKNINGSRESAN_2023/tillsyn/Gräsmyren tillsynsbegäran.docx", "Gräsmyren")</f>
        <v/>
      </c>
      <c r="AC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HYPERLINK("https://klasma.github.io/Logging_FORSKNINGSRESAN_2023/kartor_geotiff/Floarna georefererad karta.tif", "Floarna")</f>
        <v/>
      </c>
      <c r="Y9">
        <f>HYPERLINK("https://klasma.github.io/Logging_FORSKNINGSRESAN_2023/knärot/Floarna karta knärot.png", "Floarna")</f>
        <v/>
      </c>
      <c r="Z9">
        <f>HYPERLINK("https://klasma.github.io/Logging_FORSKNINGSRESAN_2023/klagomål/Floarna FSC-klagomål.docx", "Floarna")</f>
        <v/>
      </c>
      <c r="AA9">
        <f>HYPERLINK("https://klasma.github.io/Logging_FORSKNINGSRESAN_2023/klagomålsmail/Floarna FSC-klagomål mail.docx", "Floarna")</f>
        <v/>
      </c>
      <c r="AB9">
        <f>HYPERLINK("https://klasma.github.io/Logging_FORSKNINGSRESAN_2023/tillsyn/Floarna tillsynsbegäran.docx", "Floarna")</f>
        <v/>
      </c>
      <c r="AC9">
        <f>HYPERLINK("https://klasma.github.io/Logging_FORSKNINGSRESAN_2023/tillsynsmail/Floarna tillsynsbegäran mail.docx", "Floarna")</f>
        <v/>
      </c>
      <c r="AD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HYPERLINK("https://klasma.github.io/Logging_FORSKNINGSRESAN_2023/kartor_geotiff/Juånäset georefererad karta.tif", "Juånäset")</f>
        <v/>
      </c>
      <c r="Y10">
        <f>HYPERLINK("https://klasma.github.io/Logging_FORSKNINGSRESAN_2023/knärot/Juånäset karta knärot.png", "Juånäset")</f>
        <v/>
      </c>
      <c r="Z10">
        <f>HYPERLINK("https://klasma.github.io/Logging_FORSKNINGSRESAN_2023/klagomål/Juånäset FSC-klagomål.docx", "Juånäset")</f>
        <v/>
      </c>
      <c r="AA10">
        <f>HYPERLINK("https://klasma.github.io/Logging_FORSKNINGSRESAN_2023/klagomålsmail/Juånäset FSC-klagomål mail.docx", "Juånäset")</f>
        <v/>
      </c>
      <c r="AB10">
        <f>HYPERLINK("https://klasma.github.io/Logging_FORSKNINGSRESAN_2023/tillsyn/Juånäset tillsynsbegäran.docx", "Juånäset")</f>
        <v/>
      </c>
      <c r="AC10">
        <f>HYPERLINK("https://klasma.github.io/Logging_FORSKNINGSRESAN_2023/tillsynsmail/Juånäset tillsynsbegäran mail.docx", "Juånäset")</f>
        <v/>
      </c>
      <c r="AD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HYPERLINK("https://klasma.github.io/Logging_FORSKNINGSRESAN_2023/kartor_geotiff/Fröbäckstjärnarna georefererad karta.tif", "Fröbäckstjärnarna")</f>
        <v/>
      </c>
      <c r="Y11">
        <f>HYPERLINK("https://klasma.github.io/Logging_FORSKNINGSRESAN_2023/knärot/Fröbäckstjärnarna karta knärot.png", "Fröbäckstjärnarna")</f>
        <v/>
      </c>
      <c r="Z11">
        <f>HYPERLINK("https://klasma.github.io/Logging_FORSKNINGSRESAN_2023/klagomål/Fröbäckstjärnarna FSC-klagomål.docx", "Fröbäckstjärnarna")</f>
        <v/>
      </c>
      <c r="AA11">
        <f>HYPERLINK("https://klasma.github.io/Logging_FORSKNINGSRESAN_2023/klagomålsmail/Fröbäckstjärnarna FSC-klagomål mail.docx", "Fröbäckstjärnarna")</f>
        <v/>
      </c>
      <c r="AB11">
        <f>HYPERLINK("https://klasma.github.io/Logging_FORSKNINGSRESAN_2023/tillsyn/Fröbäckstjärnarna tillsynsbegäran.docx", "Fröbäckstjärnarna")</f>
        <v/>
      </c>
      <c r="AC11">
        <f>HYPERLINK("https://klasma.github.io/Logging_FORSKNINGSRESAN_2023/tillsynsmail/Fröbäckstjärnarna tillsynsbegäran mail.docx", "Fröbäckstjärnarna")</f>
        <v/>
      </c>
      <c r="AD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HYPERLINK("https://klasma.github.io/Logging_FORSKNINGSRESAN_2023/kartor_geotiff/Bodsjön georefererad karta.tif", "Bodsjön")</f>
        <v/>
      </c>
      <c r="Y12">
        <f>HYPERLINK("https://klasma.github.io/Logging_FORSKNINGSRESAN_2023/knärot/Bodsjön karta knärot.png", "Bodsjön")</f>
        <v/>
      </c>
      <c r="Z12">
        <f>HYPERLINK("https://klasma.github.io/Logging_FORSKNINGSRESAN_2023/klagomål/Bodsjön FSC-klagomål.docx", "Bodsjön")</f>
        <v/>
      </c>
      <c r="AA12">
        <f>HYPERLINK("https://klasma.github.io/Logging_FORSKNINGSRESAN_2023/klagomålsmail/Bodsjön FSC-klagomål mail.docx", "Bodsjön")</f>
        <v/>
      </c>
      <c r="AB12">
        <f>HYPERLINK("https://klasma.github.io/Logging_FORSKNINGSRESAN_2023/tillsyn/Bodsjön tillsynsbegäran.docx", "Bodsjön")</f>
        <v/>
      </c>
      <c r="AC12">
        <f>HYPERLINK("https://klasma.github.io/Logging_FORSKNINGSRESAN_2023/tillsynsmail/Bodsjön tillsynsbegäran mail.docx", "Bodsjön")</f>
        <v/>
      </c>
      <c r="AD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HYPERLINK("https://klasma.github.io/Logging_FORSKNINGSRESAN_2023/kartor_geotiff/Holmnäset georefererad karta.tif", "Holmnäset")</f>
        <v/>
      </c>
      <c r="Y13">
        <f>HYPERLINK("https://klasma.github.io/Logging_FORSKNINGSRESAN_2023/knärot/Holmnäset karta knärot.png", "Holmnäset")</f>
        <v/>
      </c>
      <c r="Z13">
        <f>HYPERLINK("https://klasma.github.io/Logging_FORSKNINGSRESAN_2023/klagomål/Holmnäset FSC-klagomål.docx", "Holmnäset")</f>
        <v/>
      </c>
      <c r="AA13">
        <f>HYPERLINK("https://klasma.github.io/Logging_FORSKNINGSRESAN_2023/klagomålsmail/Holmnäset FSC-klagomål mail.docx", "Holmnäset")</f>
        <v/>
      </c>
      <c r="AB13">
        <f>HYPERLINK("https://klasma.github.io/Logging_FORSKNINGSRESAN_2023/tillsyn/Holmnäset tillsynsbegäran.docx", "Holmnäset")</f>
        <v/>
      </c>
      <c r="AC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HYPERLINK("https://klasma.github.io/Logging_FORSKNINGSRESAN_2023/kartor_geotiff/Staverberget SCA georefererad karta.tif", "Staverberget SCA")</f>
        <v/>
      </c>
      <c r="Y14">
        <f>HYPERLINK("https://klasma.github.io/Logging_FORSKNINGSRESAN_2023/knärot/Staverberget SCA karta knärot.png", "Staverberget SCA")</f>
        <v/>
      </c>
      <c r="Z14">
        <f>HYPERLINK("https://klasma.github.io/Logging_FORSKNINGSRESAN_2023/klagomål/Staverberget SCA FSC-klagomål.docx", "Staverberget SCA")</f>
        <v/>
      </c>
      <c r="AA14">
        <f>HYPERLINK("https://klasma.github.io/Logging_FORSKNINGSRESAN_2023/klagomålsmail/Staverberget SCA FSC-klagomål mail.docx", "Staverberget SCA")</f>
        <v/>
      </c>
      <c r="AB14">
        <f>HYPERLINK("https://klasma.github.io/Logging_FORSKNINGSRESAN_2023/tillsyn/Staverberget SCA tillsynsbegäran.docx", "Staverberget SCA")</f>
        <v/>
      </c>
      <c r="AC14">
        <f>HYPERLINK("https://klasma.github.io/Logging_FORSKNINGSRESAN_2023/tillsynsmail/Staverberget SCA tillsynsbegäran mail.docx", "Staverberget SCA")</f>
        <v/>
      </c>
      <c r="AD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HYPERLINK("https://klasma.github.io/Logging_FORSKNINGSRESAN_2023/kartor_geotiff/Björnbäcken georefererad karta.tif", "Björnbäcken")</f>
        <v/>
      </c>
      <c r="Y15">
        <f>HYPERLINK("https://klasma.github.io/Logging_FORSKNINGSRESAN_2023/knärot/Björnbäcken karta knärot.png", "Björnbäcken")</f>
        <v/>
      </c>
      <c r="Z15">
        <f>HYPERLINK("https://klasma.github.io/Logging_FORSKNINGSRESAN_2023/klagomål/Björnbäcken FSC-klagomål.docx", "Björnbäcken")</f>
        <v/>
      </c>
      <c r="AA15">
        <f>HYPERLINK("https://klasma.github.io/Logging_FORSKNINGSRESAN_2023/klagomålsmail/Björnbäcken FSC-klagomål mail.docx", "Björnbäcken")</f>
        <v/>
      </c>
      <c r="AB15">
        <f>HYPERLINK("https://klasma.github.io/Logging_FORSKNINGSRESAN_2023/tillsyn/Björnbäcken tillsynsbegäran.docx", "Björnbäcken")</f>
        <v/>
      </c>
      <c r="AC15">
        <f>HYPERLINK("https://klasma.github.io/Logging_FORSKNINGSRESAN_2023/tillsynsmail/Björnbäcken tillsynsbegäran mail.docx", "Björnbäcken")</f>
        <v/>
      </c>
      <c r="AD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HYPERLINK("https://klasma.github.io/Logging_FORSKNINGSRESAN_2023/kartor_geotiff/Börsåsen N georefererad karta.tif", "Börsåsen N")</f>
        <v/>
      </c>
      <c r="Y16">
        <f>HYPERLINK("https://klasma.github.io/Logging_FORSKNINGSRESAN_2023/knärot/Börsåsen N karta knärot.png", "Börsåsen N")</f>
        <v/>
      </c>
      <c r="Z16">
        <f>HYPERLINK("https://klasma.github.io/Logging_FORSKNINGSRESAN_2023/klagomål/Börsåsen N FSC-klagomål.docx", "Börsåsen N")</f>
        <v/>
      </c>
      <c r="AA16">
        <f>HYPERLINK("https://klasma.github.io/Logging_FORSKNINGSRESAN_2023/klagomålsmail/Börsåsen N FSC-klagomål mail.docx", "Börsåsen N")</f>
        <v/>
      </c>
      <c r="AB16">
        <f>HYPERLINK("https://klasma.github.io/Logging_FORSKNINGSRESAN_2023/tillsyn/Börsåsen N tillsynsbegäran.docx", "Börsåsen N")</f>
        <v/>
      </c>
      <c r="AC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X17">
        <f>HYPERLINK("https://klasma.github.io/Logging_FORSKNINGSRESAN_2023/kartor_geotiff/Kilkojan georefererad karta.tif", "Kilkojan")</f>
        <v/>
      </c>
      <c r="Z17">
        <f>HYPERLINK("https://klasma.github.io/Logging_FORSKNINGSRESAN_2023/klagomål/Kilkojan FSC-klagomål.docx", "Kilkojan")</f>
        <v/>
      </c>
      <c r="AA17">
        <f>HYPERLINK("https://klasma.github.io/Logging_FORSKNINGSRESAN_2023/klagomålsmail/Kilkojan FSC-klagomål mail.docx", "Kilkojan")</f>
        <v/>
      </c>
      <c r="AB17">
        <f>HYPERLINK("https://klasma.github.io/Logging_FORSKNINGSRESAN_2023/tillsyn/Kilkojan tillsynsbegäran.docx", "Kilkojan")</f>
        <v/>
      </c>
      <c r="AC17">
        <f>HYPERLINK("https://klasma.github.io/Logging_FORSKNINGSRESAN_2023/tillsynsmail/Kilkojan tillsynsbegäran mail.docx", "Kilkojan")</f>
        <v/>
      </c>
      <c r="AD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HYPERLINK("https://klasma.github.io/Logging_FORSKNINGSRESAN_2023/kartor_geotiff/Kölavallhöjden georefererad karta.tif", "Kölavallhöjden")</f>
        <v/>
      </c>
      <c r="Y18">
        <f>HYPERLINK("https://klasma.github.io/Logging_FORSKNINGSRESAN_2023/knärot/Kölavallhöjden karta knärot.png", "Kölavallhöjden")</f>
        <v/>
      </c>
      <c r="Z18">
        <f>HYPERLINK("https://klasma.github.io/Logging_FORSKNINGSRESAN_2023/klagomål/Kölavallhöjden FSC-klagomål.docx", "Kölavallhöjden")</f>
        <v/>
      </c>
      <c r="AA18">
        <f>HYPERLINK("https://klasma.github.io/Logging_FORSKNINGSRESAN_2023/klagomålsmail/Kölavallhöjden FSC-klagomål mail.docx", "Kölavallhöjden")</f>
        <v/>
      </c>
      <c r="AB18">
        <f>HYPERLINK("https://klasma.github.io/Logging_FORSKNINGSRESAN_2023/tillsyn/Kölavallhöjden tillsynsbegäran.docx", "Kölavallhöjden")</f>
        <v/>
      </c>
      <c r="AC18">
        <f>HYPERLINK("https://klasma.github.io/Logging_FORSKNINGSRESAN_2023/tillsynsmail/Kölavallhöjden tillsynsbegäran mail.docx", "Kölavallhöjden")</f>
        <v/>
      </c>
      <c r="AD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HYPERLINK("https://klasma.github.io/Logging_FORSKNINGSRESAN_2023/kartor_geotiff/Trollkärringberget georefererad karta.tif", "Trollkärringberget")</f>
        <v/>
      </c>
      <c r="Y19">
        <f>HYPERLINK("https://klasma.github.io/Logging_FORSKNINGSRESAN_2023/knärot/Trollkärringberget karta knärot.png", "Trollkärringberget")</f>
        <v/>
      </c>
      <c r="Z19">
        <f>HYPERLINK("https://klasma.github.io/Logging_FORSKNINGSRESAN_2023/klagomål/Trollkärringberget FSC-klagomål.docx", "Trollkärringberget")</f>
        <v/>
      </c>
      <c r="AA19">
        <f>HYPERLINK("https://klasma.github.io/Logging_FORSKNINGSRESAN_2023/klagomålsmail/Trollkärringberget FSC-klagomål mail.docx", "Trollkärringberget")</f>
        <v/>
      </c>
      <c r="AB19">
        <f>HYPERLINK("https://klasma.github.io/Logging_FORSKNINGSRESAN_2023/tillsyn/Trollkärringberget tillsynsbegäran.docx", "Trollkärringberget")</f>
        <v/>
      </c>
      <c r="AC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X20">
        <f>HYPERLINK("https://klasma.github.io/Logging_FORSKNINGSRESAN_2023/kartor_geotiff/Nils-Andersknulen N georefererad karta.tif", "Nils-Andersknulen N")</f>
        <v/>
      </c>
      <c r="Z20">
        <f>HYPERLINK("https://klasma.github.io/Logging_FORSKNINGSRESAN_2023/klagomål/Nils-Andersknulen N FSC-klagomål.docx", "Nils-Andersknulen N")</f>
        <v/>
      </c>
      <c r="AA20">
        <f>HYPERLINK("https://klasma.github.io/Logging_FORSKNINGSRESAN_2023/klagomålsmail/Nils-Andersknulen N FSC-klagomål mail.docx", "Nils-Andersknulen N")</f>
        <v/>
      </c>
      <c r="AB20">
        <f>HYPERLINK("https://klasma.github.io/Logging_FORSKNINGSRESAN_2023/tillsyn/Nils-Andersknulen N tillsynsbegäran.docx", "Nils-Andersknulen N")</f>
        <v/>
      </c>
      <c r="AC20">
        <f>HYPERLINK("https://klasma.github.io/Logging_FORSKNINGSRESAN_2023/tillsynsmail/Nils-Andersknulen N tillsynsbegäran mail.docx", "Nils-Andersknulen N")</f>
        <v/>
      </c>
      <c r="AD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HYPERLINK("https://klasma.github.io/Logging_FORSKNINGSRESAN_2023/kartor_geotiff/Blåtjärnen georefererad karta.tif", "Blåtjärnen")</f>
        <v/>
      </c>
      <c r="Y21">
        <f>HYPERLINK("https://klasma.github.io/Logging_FORSKNINGSRESAN_2023/knärot/Blåtjärnen karta knärot.png", "Blåtjärnen")</f>
        <v/>
      </c>
      <c r="Z21">
        <f>HYPERLINK("https://klasma.github.io/Logging_FORSKNINGSRESAN_2023/klagomål/Blåtjärnen FSC-klagomål.docx", "Blåtjärnen")</f>
        <v/>
      </c>
      <c r="AA21">
        <f>HYPERLINK("https://klasma.github.io/Logging_FORSKNINGSRESAN_2023/klagomålsmail/Blåtjärnen FSC-klagomål mail.docx", "Blåtjärnen")</f>
        <v/>
      </c>
      <c r="AB21">
        <f>HYPERLINK("https://klasma.github.io/Logging_FORSKNINGSRESAN_2023/tillsyn/Blåtjärnen tillsynsbegäran.docx", "Blåtjärnen")</f>
        <v/>
      </c>
      <c r="AC21">
        <f>HYPERLINK("https://klasma.github.io/Logging_FORSKNINGSRESAN_2023/tillsynsmail/Blåtjärnen tillsynsbegäran mail.docx", "Blåtjärnen")</f>
        <v/>
      </c>
      <c r="AD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X22">
        <f>HYPERLINK("https://klasma.github.io/Logging_FORSKNINGSRESAN_2023/kartor_geotiff/Sjättnäsbäcken SCA georefererad karta.tif", "Sjättnäsbäcken SCA")</f>
        <v/>
      </c>
      <c r="Z22">
        <f>HYPERLINK("https://klasma.github.io/Logging_FORSKNINGSRESAN_2023/klagomål/Sjättnäsbäcken SCA FSC-klagomål.docx", "Sjättnäsbäcken SCA")</f>
        <v/>
      </c>
      <c r="AA22">
        <f>HYPERLINK("https://klasma.github.io/Logging_FORSKNINGSRESAN_2023/klagomålsmail/Sjättnäsbäcken SCA FSC-klagomål mail.docx", "Sjättnäsbäcken SCA")</f>
        <v/>
      </c>
      <c r="AB22">
        <f>HYPERLINK("https://klasma.github.io/Logging_FORSKNINGSRESAN_2023/tillsyn/Sjättnäsbäcken SCA tillsynsbegäran.docx", "Sjättnäsbäcken SCA")</f>
        <v/>
      </c>
      <c r="AC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HYPERLINK("https://klasma.github.io/Logging_FORSKNINGSRESAN_2023/kartor_geotiff/Rammsjöberget V Sveaskog georefererad karta.tif", "Rammsjöberget V Sveaskog")</f>
        <v/>
      </c>
      <c r="Y23">
        <f>HYPERLINK("https://klasma.github.io/Logging_FORSKNINGSRESAN_2023/knärot/Rammsjöberget V Sveaskog karta knärot.png", "Rammsjöberget V Sveaskog")</f>
        <v/>
      </c>
      <c r="Z23">
        <f>HYPERLINK("https://klasma.github.io/Logging_FORSKNINGSRESAN_2023/klagomål/Rammsjöberget V Sveaskog FSC-klagomål.docx", "Rammsjöberget V Sveaskog")</f>
        <v/>
      </c>
      <c r="AA23">
        <f>HYPERLINK("https://klasma.github.io/Logging_FORSKNINGSRESAN_2023/klagomålsmail/Rammsjöberget V Sveaskog FSC-klagomål mail.docx", "Rammsjöberget V Sveaskog")</f>
        <v/>
      </c>
      <c r="AB23">
        <f>HYPERLINK("https://klasma.github.io/Logging_FORSKNINGSRESAN_2023/tillsyn/Rammsjöberget V Sveaskog tillsynsbegäran.docx", "Rammsjöberget V Sveaskog")</f>
        <v/>
      </c>
      <c r="AC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2026-07-19T14:53:29Z</dcterms:created>
  <dcterms:modified xmlns:dcterms="http://purl.org/dc/terms/" xmlns:xsi="http://www.w3.org/2001/XMLSchema-instance" xsi:type="dcterms:W3CDTF">2026-07-19T14:53:29Z</dcterms:modified>
</cp:coreProperties>
</file>