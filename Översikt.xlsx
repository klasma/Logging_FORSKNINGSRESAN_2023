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46223</v>
      </c>
      <c r="E2" s="1" t="n">
        <v>46223</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46223</v>
      </c>
      <c r="E3" s="1" t="n">
        <v>46223</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46223</v>
      </c>
      <c r="E4" s="1" t="n">
        <v>46223</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Halstjärnarna</t>
        </is>
      </c>
      <c r="B5" t="inlineStr">
        <is>
          <t>avverkningsanmälan</t>
        </is>
      </c>
      <c r="D5" s="1" t="n">
        <v>46223</v>
      </c>
      <c r="E5" s="1" t="n">
        <v>46223</v>
      </c>
      <c r="F5" t="inlineStr">
        <is>
          <t>Jämtlands län</t>
        </is>
      </c>
      <c r="G5" t="inlineStr">
        <is>
          <t>Berg</t>
        </is>
      </c>
      <c r="I5" t="n">
        <v>86.59999999999999</v>
      </c>
      <c r="J5" t="n">
        <v>9</v>
      </c>
      <c r="K5" t="n">
        <v>14</v>
      </c>
      <c r="L5" t="n">
        <v>32</v>
      </c>
      <c r="M5" t="n">
        <v>13</v>
      </c>
      <c r="N5" t="n">
        <v>1</v>
      </c>
      <c r="O5" t="n">
        <v>2</v>
      </c>
      <c r="P5" t="n">
        <v>0</v>
      </c>
      <c r="Q5" t="n">
        <v>48</v>
      </c>
      <c r="R5" t="n">
        <v>16</v>
      </c>
      <c r="S5" t="n">
        <v>66</v>
      </c>
      <c r="T5" t="n">
        <v>577</v>
      </c>
      <c r="U5"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5">
        <f>HYPERLINK("https://klasma.github.io/Logging_FORSKNINGSRESAN_2023/artfynd/Halstjärnarna artfynd.xlsx", "Halstjärnarna")</f>
        <v/>
      </c>
      <c r="W5">
        <f>HYPERLINK("https://klasma.github.io/Logging_FORSKNINGSRESAN_2023/kartor/Halstjärnarna karta.png", "Halstjärnarna")</f>
        <v/>
      </c>
      <c r="X5">
        <f>HYPERLINK("https://klasma.github.io/Logging_FORSKNINGSRESAN_2023/kartor_geotiff/Halstjärnarna georefererad karta.tif", "Halstjärnarna")</f>
        <v/>
      </c>
      <c r="Y5">
        <f>HYPERLINK("https://klasma.github.io/Logging_FORSKNINGSRESAN_2023/knärot/Halstjärnarna karta knärot.png", "Halstjärnarna")</f>
        <v/>
      </c>
      <c r="Z5">
        <f>HYPERLINK("https://klasma.github.io/Logging_FORSKNINGSRESAN_2023/klagomål/Halstjärnarna FSC-klagomål.docx", "Halstjärnarna")</f>
        <v/>
      </c>
      <c r="AA5">
        <f>HYPERLINK("https://klasma.github.io/Logging_FORSKNINGSRESAN_2023/klagomålsmail/Halstjärnarna FSC-klagomål mail.docx", "Halstjärnarna")</f>
        <v/>
      </c>
      <c r="AB5">
        <f>HYPERLINK("https://klasma.github.io/Logging_FORSKNINGSRESAN_2023/tillsyn/Halstjärnarna tillsynsbegäran.docx", "Halstjärnarna")</f>
        <v/>
      </c>
      <c r="AC5">
        <f>HYPERLINK("https://klasma.github.io/Logging_FORSKNINGSRESAN_2023/tillsynsmail/Halstjärnarna tillsynsbegäran mail.docx", "Halstjärnarna")</f>
        <v/>
      </c>
      <c r="AD5">
        <f>HYPERLINK("https://klasma.github.io/Logging_FORSKNINGSRESAN_2023/fåglar/Halstjärnarna prioriterade fågelarter.docx", "Halstjärnarna")</f>
        <v/>
      </c>
      <c r="AE5" t="inlineStr">
        <is>
          <t>SCA</t>
        </is>
      </c>
      <c r="AF5" t="inlineStr">
        <is>
          <t>Nej</t>
        </is>
      </c>
      <c r="AH5" t="inlineStr">
        <is>
          <t>Ser bra ut</t>
        </is>
      </c>
      <c r="AI5" t="inlineStr">
        <is>
          <t>Stor påverkan centralt, annars ganska låg</t>
        </is>
      </c>
      <c r="AJ5" t="inlineStr">
        <is>
          <t>Ja</t>
        </is>
      </c>
      <c r="AK5" t="n">
        <v>2</v>
      </c>
      <c r="AL5" t="n">
        <v/>
      </c>
    </row>
    <row r="6" ht="15" customHeight="1">
      <c r="A6" t="inlineStr">
        <is>
          <t>Staverberget - PRIVAT</t>
        </is>
      </c>
      <c r="B6" t="inlineStr">
        <is>
          <t>avverkningsanmälan</t>
        </is>
      </c>
      <c r="D6" s="1" t="n">
        <v>46223</v>
      </c>
      <c r="E6" s="1" t="n">
        <v>46223</v>
      </c>
      <c r="F6" t="inlineStr">
        <is>
          <t>Jämtlands län</t>
        </is>
      </c>
      <c r="G6" t="inlineStr">
        <is>
          <t>Berg</t>
        </is>
      </c>
      <c r="I6" t="n">
        <v>425.1</v>
      </c>
      <c r="J6" t="n">
        <v>16</v>
      </c>
      <c r="K6" t="n">
        <v>19</v>
      </c>
      <c r="L6" t="n">
        <v>31</v>
      </c>
      <c r="M6" t="n">
        <v>7</v>
      </c>
      <c r="N6" t="n">
        <v>0</v>
      </c>
      <c r="O6" t="n">
        <v>2</v>
      </c>
      <c r="P6" t="n">
        <v>0</v>
      </c>
      <c r="Q6" t="n">
        <v>40</v>
      </c>
      <c r="R6" t="n">
        <v>9</v>
      </c>
      <c r="S6" t="n">
        <v>66</v>
      </c>
      <c r="T6" t="n">
        <v>668</v>
      </c>
      <c r="U6" s="2" t="inlineStr">
        <is>
          <t>Kolticka
Kritporing
Doftticka
Fläckporing
Garnlav
Gräddporing
Gränsticka
Knärot
Ulltickeporing
Blanksvart spiklav
Blågrå svartspik
Doftskinn
Dropptaggsvamp
Dvärgbägarlav
Gammelgransskål
Harticka
Kandelabersvamp
Knottrig blåslav
Kolflarnlav
Kortskaftad ärgspik
Liten svartspik
Lunglav
Mörk kolflarnlav
Nordtagging
Rosenticka
Skogsfru
Skrovellav
Skuggblåslav
Stiftgelélav
Stjärntagging
Talltagel
Tallticka
Talltita
Tretåig hackspett
Ullticka
Vedflamlav
Vedskivlav
Vedtrappmossa
Violettgrå tagellav
Vitgrynig nållav
Bårdlav
Grovticka
Grönpyrola
Gytterlav
Korallblylav
Korallrot
Källpraktmossa
Luddlav
Mindre märgborre
Norrlandslav
Plattlummer
Skinnlav
Skogshakmossa
Smal svampklubba
Sotriska
Spindelblomster
Stuplav
Tvåblad
Vedticka
Järpe
Spillkråka
Tjäder
Svartvit flugsnappare
Trana
Fläcknycklar
Nattviol</t>
        </is>
      </c>
      <c r="V6">
        <f>HYPERLINK("https://klasma.github.io/Logging_FORSKNINGSRESAN_2023/artfynd/Staverberget - PRIVAT artfynd.xlsx", "Staverberget - PRIVAT")</f>
        <v/>
      </c>
      <c r="W6">
        <f>HYPERLINK("https://klasma.github.io/Logging_FORSKNINGSRESAN_2023/kartor/Staverberget - PRIVAT karta.png", "Staverberget - PRIVAT")</f>
        <v/>
      </c>
      <c r="X6">
        <f>HYPERLINK("https://klasma.github.io/Logging_FORSKNINGSRESAN_2023/kartor_geotiff/Staverberget - PRIVAT georefererad karta.tif", "Staverberget - PRIVAT")</f>
        <v/>
      </c>
      <c r="Y6">
        <f>HYPERLINK("https://klasma.github.io/Logging_FORSKNINGSRESAN_2023/knärot/Staverberget - PRIVAT karta knärot.png", "Staverberget - PRIVAT")</f>
        <v/>
      </c>
      <c r="Z6">
        <f>HYPERLINK("https://klasma.github.io/Logging_FORSKNINGSRESAN_2023/klagomål/Staverberget - PRIVAT FSC-klagomål.docx", "Staverberget - PRIVAT")</f>
        <v/>
      </c>
      <c r="AA6">
        <f>HYPERLINK("https://klasma.github.io/Logging_FORSKNINGSRESAN_2023/klagomålsmail/Staverberget - PRIVAT FSC-klagomål mail.docx", "Staverberget - PRIVAT")</f>
        <v/>
      </c>
      <c r="AB6">
        <f>HYPERLINK("https://klasma.github.io/Logging_FORSKNINGSRESAN_2023/tillsyn/Staverberget - PRIVAT tillsynsbegäran.docx", "Staverberget - PRIVAT")</f>
        <v/>
      </c>
      <c r="AC6">
        <f>HYPERLINK("https://klasma.github.io/Logging_FORSKNINGSRESAN_2023/tillsynsmail/Staverberget - PRIVAT tillsynsbegäran mail.docx", "Staverberget - PRIVAT")</f>
        <v/>
      </c>
      <c r="AD6">
        <f>HYPERLINK("https://klasma.github.io/Logging_FORSKNINGSRESAN_2023/fåglar/Staverberget - PRIVAT prioriterade fågelarter.docx", "Staverberget - PRIVAT")</f>
        <v/>
      </c>
      <c r="AE6" t="inlineStr">
        <is>
          <t>Privat</t>
        </is>
      </c>
      <c r="AF6" t="inlineStr">
        <is>
          <t>Nej</t>
        </is>
      </c>
      <c r="AH6" t="inlineStr">
        <is>
          <t>Ser bra ut! Gissar stavatall</t>
        </is>
      </c>
      <c r="AI6" t="inlineStr">
        <is>
          <t>Låg påverkan</t>
        </is>
      </c>
      <c r="AJ6" t="inlineStr">
        <is>
          <t>Ja</t>
        </is>
      </c>
      <c r="AK6" t="n">
        <v>2</v>
      </c>
      <c r="AL6" t="n">
        <v/>
      </c>
    </row>
    <row r="7" ht="15" customHeight="1">
      <c r="A7" t="inlineStr">
        <is>
          <t>Horten Sultentjärnen</t>
        </is>
      </c>
      <c r="B7" t="inlineStr">
        <is>
          <t>avverkningsanmälan</t>
        </is>
      </c>
      <c r="D7" s="1" t="n">
        <v>46223</v>
      </c>
      <c r="E7" s="1" t="n">
        <v>46223</v>
      </c>
      <c r="F7" t="inlineStr">
        <is>
          <t>Jämtlands län</t>
        </is>
      </c>
      <c r="G7" t="inlineStr">
        <is>
          <t>Berg</t>
        </is>
      </c>
      <c r="I7" t="n">
        <v>175.9</v>
      </c>
      <c r="J7" t="n">
        <v>9</v>
      </c>
      <c r="K7" t="n">
        <v>16</v>
      </c>
      <c r="L7" t="n">
        <v>31</v>
      </c>
      <c r="M7" t="n">
        <v>9</v>
      </c>
      <c r="N7" t="n">
        <v>0</v>
      </c>
      <c r="O7" t="n">
        <v>2</v>
      </c>
      <c r="P7" t="n">
        <v>0</v>
      </c>
      <c r="Q7" t="n">
        <v>42</v>
      </c>
      <c r="R7" t="n">
        <v>11</v>
      </c>
      <c r="S7" t="n">
        <v>63</v>
      </c>
      <c r="T7" t="n">
        <v>1217</v>
      </c>
      <c r="U7"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7">
        <f>HYPERLINK("https://klasma.github.io/Logging_FORSKNINGSRESAN_2023/artfynd/Horten Sultentjärnen artfynd.xlsx", "Horten Sultentjärnen")</f>
        <v/>
      </c>
      <c r="W7">
        <f>HYPERLINK("https://klasma.github.io/Logging_FORSKNINGSRESAN_2023/kartor/Horten Sultentjärnen karta.png", "Horten Sultentjärnen")</f>
        <v/>
      </c>
      <c r="X7">
        <f>HYPERLINK("https://klasma.github.io/Logging_FORSKNINGSRESAN_2023/kartor_geotiff/Horten Sultentjärnen georefererad karta.tif", "Horten Sultentjärnen")</f>
        <v/>
      </c>
      <c r="Y7">
        <f>HYPERLINK("https://klasma.github.io/Logging_FORSKNINGSRESAN_2023/knärot/Horten Sultentjärnen karta knärot.png", "Horten Sultentjärnen")</f>
        <v/>
      </c>
      <c r="Z7">
        <f>HYPERLINK("https://klasma.github.io/Logging_FORSKNINGSRESAN_2023/klagomål/Horten Sultentjärnen FSC-klagomål.docx", "Horten Sultentjärnen")</f>
        <v/>
      </c>
      <c r="AA7">
        <f>HYPERLINK("https://klasma.github.io/Logging_FORSKNINGSRESAN_2023/klagomålsmail/Horten Sultentjärnen FSC-klagomål mail.docx", "Horten Sultentjärnen")</f>
        <v/>
      </c>
      <c r="AB7">
        <f>HYPERLINK("https://klasma.github.io/Logging_FORSKNINGSRESAN_2023/tillsyn/Horten Sultentjärnen tillsynsbegäran.docx", "Horten Sultentjärnen")</f>
        <v/>
      </c>
      <c r="AC7">
        <f>HYPERLINK("https://klasma.github.io/Logging_FORSKNINGSRESAN_2023/tillsynsmail/Horten Sultentjärnen tillsynsbegäran mail.docx", "Horten Sultentjärnen")</f>
        <v/>
      </c>
      <c r="AD7">
        <f>HYPERLINK("https://klasma.github.io/Logging_FORSKNINGSRESAN_2023/fåglar/Horten Sultentjärnen prioriterade fågelarter.docx", "Horten Sultentjärnen")</f>
        <v/>
      </c>
      <c r="AE7" t="inlineStr">
        <is>
          <t>SCA</t>
        </is>
      </c>
      <c r="AF7" t="inlineStr">
        <is>
          <t>Flera stora avv</t>
        </is>
      </c>
      <c r="AG7" t="inlineStr">
        <is>
          <t>Delvis</t>
        </is>
      </c>
      <c r="AH7" t="inlineStr">
        <is>
          <t>Ser riktigt bra ut!</t>
        </is>
      </c>
      <c r="AI7" t="inlineStr">
        <is>
          <t>Låg</t>
        </is>
      </c>
      <c r="AJ7" t="inlineStr">
        <is>
          <t>Ja</t>
        </is>
      </c>
      <c r="AK7" t="n">
        <v>1</v>
      </c>
      <c r="AL7" t="n">
        <v/>
      </c>
    </row>
    <row r="8" ht="15" customHeight="1">
      <c r="A8" t="inlineStr">
        <is>
          <t>Frägnhällorna O</t>
        </is>
      </c>
      <c r="B8" t="inlineStr">
        <is>
          <t>avverkningsanmälan</t>
        </is>
      </c>
      <c r="D8" s="1" t="n">
        <v>46223</v>
      </c>
      <c r="E8" s="1" t="n">
        <v>46223</v>
      </c>
      <c r="F8" t="inlineStr">
        <is>
          <t>Jämtlands län</t>
        </is>
      </c>
      <c r="G8" t="inlineStr">
        <is>
          <t>Berg</t>
        </is>
      </c>
      <c r="I8" t="n">
        <v>200.6</v>
      </c>
      <c r="J8" t="n">
        <v>13</v>
      </c>
      <c r="K8" t="n">
        <v>20</v>
      </c>
      <c r="L8" t="n">
        <v>23</v>
      </c>
      <c r="M8" t="n">
        <v>9</v>
      </c>
      <c r="N8" t="n">
        <v>1</v>
      </c>
      <c r="O8" t="n">
        <v>0</v>
      </c>
      <c r="P8" t="n">
        <v>0</v>
      </c>
      <c r="Q8" t="n">
        <v>33</v>
      </c>
      <c r="R8" t="n">
        <v>10</v>
      </c>
      <c r="S8" t="n">
        <v>59</v>
      </c>
      <c r="T8" t="n">
        <v>269</v>
      </c>
      <c r="U8" s="2" t="inlineStr">
        <is>
          <t>Bitter taggsvamp
Aspfjädermossa
Doftticka
Garnlav
Goliatmusseron
Knärot
Norsk näverlav
Skrovlig taggsvamp
Sprickporing
Ulltickeporing
Blå taggsvamp
Brunpudrad nållav
Doftskinn
Dofttaggsvamp
Dropptaggsvamp
Dvärgbägarlav
Gammelgransskål
Kolflarnlav
Lavskrika
Lunglav
Orange taggsvamp
Rosenticka
Rynkskinn
Skrovellav
Svartvit taggsvamp
Talltaggsvamp
Tallticka
Talltita
Tretåig hackspett
Ullticka
Vedflamlav
Vedtrappmossa
Violettgrå tagellav
Bårdlav
Fällmossa
Gräsull
Korallblylav
Kransrams
Luddlav
Mörk husmossa
Nordlig fjädermossa
Plattlummer
Rävticka
Rödgul trumpetsvamp
Skinnlav
Spindelblomster
Stor aspticka
Strutbräken
Stuplav
Svart trolldruva
Vedticka
Zontaggsvamp
Ögonpyrola
Gråspett
Spillkråka
Tjäder
Fläcknycklar
Nattviol
Revlummer</t>
        </is>
      </c>
      <c r="V8">
        <f>HYPERLINK("https://klasma.github.io/Logging_FORSKNINGSRESAN_2023/artfynd/Frägnhällorna O artfynd.xlsx", "Frägnhällorna O")</f>
        <v/>
      </c>
      <c r="W8">
        <f>HYPERLINK("https://klasma.github.io/Logging_FORSKNINGSRESAN_2023/kartor/Frägnhällorna O karta.png", "Frägnhällorna O")</f>
        <v/>
      </c>
      <c r="X8">
        <f>HYPERLINK("https://klasma.github.io/Logging_FORSKNINGSRESAN_2023/kartor_geotiff/Frägnhällorna O georefererad karta.tif", "Frägnhällorna O")</f>
        <v/>
      </c>
      <c r="Y8">
        <f>HYPERLINK("https://klasma.github.io/Logging_FORSKNINGSRESAN_2023/knärot/Frägnhällorna O karta knärot.png", "Frägnhällorna O")</f>
        <v/>
      </c>
      <c r="Z8">
        <f>HYPERLINK("https://klasma.github.io/Logging_FORSKNINGSRESAN_2023/klagomål/Frägnhällorna O FSC-klagomål.docx", "Frägnhällorna O")</f>
        <v/>
      </c>
      <c r="AA8">
        <f>HYPERLINK("https://klasma.github.io/Logging_FORSKNINGSRESAN_2023/klagomålsmail/Frägnhällorna O FSC-klagomål mail.docx", "Frägnhällorna O")</f>
        <v/>
      </c>
      <c r="AB8">
        <f>HYPERLINK("https://klasma.github.io/Logging_FORSKNINGSRESAN_2023/tillsyn/Frägnhällorna O tillsynsbegäran.docx", "Frägnhällorna O")</f>
        <v/>
      </c>
      <c r="AC8">
        <f>HYPERLINK("https://klasma.github.io/Logging_FORSKNINGSRESAN_2023/tillsynsmail/Frägnhällorna O tillsynsbegäran mail.docx", "Frägnhällorna O")</f>
        <v/>
      </c>
      <c r="AD8">
        <f>HYPERLINK("https://klasma.github.io/Logging_FORSKNINGSRESAN_2023/fåglar/Frägnhällorna O prioriterade fågelarter.docx", "Frägnhällorna O")</f>
        <v/>
      </c>
      <c r="AE8" t="inlineStr">
        <is>
          <t>Stora Enso</t>
        </is>
      </c>
      <c r="AF8" t="inlineStr">
        <is>
          <t>Ej avv</t>
        </is>
      </c>
      <c r="AH8" t="inlineStr">
        <is>
          <t>Stora områden häll i S, prioritera norr om inv</t>
        </is>
      </c>
      <c r="AI8" t="inlineStr">
        <is>
          <t>Måttlig</t>
        </is>
      </c>
      <c r="AJ8" t="inlineStr">
        <is>
          <t>Ja</t>
        </is>
      </c>
      <c r="AK8" t="n">
        <v>2</v>
      </c>
      <c r="AL8" t="n">
        <v/>
      </c>
    </row>
    <row r="9" ht="15" customHeight="1">
      <c r="A9" t="inlineStr">
        <is>
          <t>Hundtjärnbrännan</t>
        </is>
      </c>
      <c r="B9" t="inlineStr">
        <is>
          <t>avverkningsanmälan</t>
        </is>
      </c>
      <c r="D9" s="1" t="n">
        <v>46223</v>
      </c>
      <c r="E9" s="1" t="n">
        <v>46223</v>
      </c>
      <c r="F9" t="inlineStr">
        <is>
          <t>Jämtlands län</t>
        </is>
      </c>
      <c r="G9" t="inlineStr">
        <is>
          <t>Berg</t>
        </is>
      </c>
      <c r="I9" t="n">
        <v>182.9</v>
      </c>
      <c r="J9" t="n">
        <v>8</v>
      </c>
      <c r="K9" t="n">
        <v>12</v>
      </c>
      <c r="L9" t="n">
        <v>21</v>
      </c>
      <c r="M9" t="n">
        <v>8</v>
      </c>
      <c r="N9" t="n">
        <v>2</v>
      </c>
      <c r="O9" t="n">
        <v>0</v>
      </c>
      <c r="P9" t="n">
        <v>0</v>
      </c>
      <c r="Q9" t="n">
        <v>31</v>
      </c>
      <c r="R9" t="n">
        <v>10</v>
      </c>
      <c r="S9" t="n">
        <v>45</v>
      </c>
      <c r="T9" t="n">
        <v>249</v>
      </c>
      <c r="U9"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9">
        <f>HYPERLINK("https://klasma.github.io/Logging_FORSKNINGSRESAN_2023/artfynd/Hundtjärnbrännan artfynd.xlsx", "Hundtjärnbrännan")</f>
        <v/>
      </c>
      <c r="W9">
        <f>HYPERLINK("https://klasma.github.io/Logging_FORSKNINGSRESAN_2023/kartor/Hundtjärnbrännan karta.png", "Hundtjärnbrännan")</f>
        <v/>
      </c>
      <c r="X9">
        <f>HYPERLINK("https://klasma.github.io/Logging_FORSKNINGSRESAN_2023/kartor_geotiff/Hundtjärnbrännan georefererad karta.tif", "Hundtjärnbrännan")</f>
        <v/>
      </c>
      <c r="Y9">
        <f>HYPERLINK("https://klasma.github.io/Logging_FORSKNINGSRESAN_2023/knärot/Hundtjärnbrännan karta knärot.png", "Hundtjärnbrännan")</f>
        <v/>
      </c>
      <c r="Z9">
        <f>HYPERLINK("https://klasma.github.io/Logging_FORSKNINGSRESAN_2023/klagomål/Hundtjärnbrännan FSC-klagomål.docx", "Hundtjärnbrännan")</f>
        <v/>
      </c>
      <c r="AA9">
        <f>HYPERLINK("https://klasma.github.io/Logging_FORSKNINGSRESAN_2023/klagomålsmail/Hundtjärnbrännan FSC-klagomål mail.docx", "Hundtjärnbrännan")</f>
        <v/>
      </c>
      <c r="AB9">
        <f>HYPERLINK("https://klasma.github.io/Logging_FORSKNINGSRESAN_2023/tillsyn/Hundtjärnbrännan tillsynsbegäran.docx", "Hundtjärnbrännan")</f>
        <v/>
      </c>
      <c r="AC9">
        <f>HYPERLINK("https://klasma.github.io/Logging_FORSKNINGSRESAN_2023/tillsynsmail/Hundtjärnbrännan tillsynsbegäran mail.docx", "Hundtjärnbrännan")</f>
        <v/>
      </c>
      <c r="AD9">
        <f>HYPERLINK("https://klasma.github.io/Logging_FORSKNINGSRESAN_2023/fåglar/Hundtjärnbrännan prioriterade fågelarter.docx", "Hundtjärnbrännan")</f>
        <v/>
      </c>
      <c r="AE9" t="inlineStr">
        <is>
          <t>Sveaskog</t>
        </is>
      </c>
      <c r="AF9" t="inlineStr">
        <is>
          <t>Stor avv i O</t>
        </is>
      </c>
      <c r="AG9" t="n">
        <v/>
      </c>
      <c r="AH9" t="inlineStr">
        <is>
          <t>Mycket lovande, gränsar till två reservat</t>
        </is>
      </c>
      <c r="AI9" t="inlineStr">
        <is>
          <t>Troligen medelpåverkan</t>
        </is>
      </c>
      <c r="AJ9" t="inlineStr">
        <is>
          <t>Ja</t>
        </is>
      </c>
      <c r="AK9" t="n">
        <v>1</v>
      </c>
      <c r="AL9" t="inlineStr">
        <is>
          <t>Lst Vst: Har rätt bra koll på detta omr</t>
        </is>
      </c>
    </row>
    <row r="10" ht="15" customHeight="1">
      <c r="A10" t="inlineStr">
        <is>
          <t>Länken Vitalmen</t>
        </is>
      </c>
      <c r="B10" t="inlineStr">
        <is>
          <t>avverkningsanmälan</t>
        </is>
      </c>
      <c r="D10" s="1" t="n">
        <v>46223</v>
      </c>
      <c r="E10" s="1" t="n">
        <v>46223</v>
      </c>
      <c r="F10" t="inlineStr">
        <is>
          <t>Jämtlands län</t>
        </is>
      </c>
      <c r="G10" t="inlineStr">
        <is>
          <t>Berg</t>
        </is>
      </c>
      <c r="I10" t="n">
        <v>201</v>
      </c>
      <c r="J10" t="n">
        <v>10</v>
      </c>
      <c r="K10" t="n">
        <v>12</v>
      </c>
      <c r="L10" t="n">
        <v>18</v>
      </c>
      <c r="M10" t="n">
        <v>6</v>
      </c>
      <c r="N10" t="n">
        <v>0</v>
      </c>
      <c r="O10" t="n">
        <v>0</v>
      </c>
      <c r="P10" t="n">
        <v>0</v>
      </c>
      <c r="Q10" t="n">
        <v>24</v>
      </c>
      <c r="R10" t="n">
        <v>6</v>
      </c>
      <c r="S10" t="n">
        <v>41</v>
      </c>
      <c r="T10" t="n">
        <v>207</v>
      </c>
      <c r="U10"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10">
        <f>HYPERLINK("https://klasma.github.io/Logging_FORSKNINGSRESAN_2023/artfynd/Länken Vitalmen artfynd.xlsx", "Länken Vitalmen")</f>
        <v/>
      </c>
      <c r="W10">
        <f>HYPERLINK("https://klasma.github.io/Logging_FORSKNINGSRESAN_2023/kartor/Länken Vitalmen karta.png", "Länken Vitalmen")</f>
        <v/>
      </c>
      <c r="X10">
        <f>HYPERLINK("https://klasma.github.io/Logging_FORSKNINGSRESAN_2023/kartor_geotiff/Länken Vitalmen georefererad karta.tif", "Länken Vitalmen")</f>
        <v/>
      </c>
      <c r="Y10">
        <f>HYPERLINK("https://klasma.github.io/Logging_FORSKNINGSRESAN_2023/knärot/Länken Vitalmen karta knärot.png", "Länken Vitalmen")</f>
        <v/>
      </c>
      <c r="Z10">
        <f>HYPERLINK("https://klasma.github.io/Logging_FORSKNINGSRESAN_2023/klagomål/Länken Vitalmen FSC-klagomål.docx", "Länken Vitalmen")</f>
        <v/>
      </c>
      <c r="AA10">
        <f>HYPERLINK("https://klasma.github.io/Logging_FORSKNINGSRESAN_2023/klagomålsmail/Länken Vitalmen FSC-klagomål mail.docx", "Länken Vitalmen")</f>
        <v/>
      </c>
      <c r="AB10">
        <f>HYPERLINK("https://klasma.github.io/Logging_FORSKNINGSRESAN_2023/tillsyn/Länken Vitalmen tillsynsbegäran.docx", "Länken Vitalmen")</f>
        <v/>
      </c>
      <c r="AC10">
        <f>HYPERLINK("https://klasma.github.io/Logging_FORSKNINGSRESAN_2023/tillsynsmail/Länken Vitalmen tillsynsbegäran mail.docx", "Länken Vitalmen")</f>
        <v/>
      </c>
      <c r="AD10">
        <f>HYPERLINK("https://klasma.github.io/Logging_FORSKNINGSRESAN_2023/fåglar/Länken Vitalmen prioriterade fågelarter.docx", "Länken Vitalmen")</f>
        <v/>
      </c>
      <c r="AE10" t="inlineStr">
        <is>
          <t>SCA + kyrkan</t>
        </is>
      </c>
      <c r="AF10" t="inlineStr">
        <is>
          <t>Flera avv</t>
        </is>
      </c>
      <c r="AG10" t="inlineStr">
        <is>
          <t>Liten del av omr</t>
        </is>
      </c>
      <c r="AH10" t="inlineStr">
        <is>
          <t>Ser tätt och bra ut</t>
        </is>
      </c>
      <c r="AI10" t="inlineStr">
        <is>
          <t>Låg</t>
        </is>
      </c>
      <c r="AJ10" t="inlineStr">
        <is>
          <t>Ja</t>
        </is>
      </c>
      <c r="AK10" t="n">
        <v>1</v>
      </c>
      <c r="AL10" t="inlineStr">
        <is>
          <t>I s: Stavatall, 80-100, inga överståndare. Gallrad en gång länge sedan. Sparsamt med död ved.
I N klockrent. U/V3</t>
        </is>
      </c>
    </row>
    <row r="11" ht="15" customHeight="1">
      <c r="A11" t="inlineStr">
        <is>
          <t>Gräsmyren</t>
        </is>
      </c>
      <c r="B11" t="inlineStr">
        <is>
          <t>avverkningsanmälan</t>
        </is>
      </c>
      <c r="D11" s="1" t="n">
        <v>46223</v>
      </c>
      <c r="E11" s="1" t="n">
        <v>46223</v>
      </c>
      <c r="F11" t="inlineStr">
        <is>
          <t>Jämtlands län</t>
        </is>
      </c>
      <c r="G11" t="inlineStr">
        <is>
          <t>Berg</t>
        </is>
      </c>
      <c r="I11" t="n">
        <v>226</v>
      </c>
      <c r="J11" t="n">
        <v>4</v>
      </c>
      <c r="K11" t="n">
        <v>15</v>
      </c>
      <c r="L11" t="n">
        <v>18</v>
      </c>
      <c r="M11" t="n">
        <v>4</v>
      </c>
      <c r="N11" t="n">
        <v>0</v>
      </c>
      <c r="O11" t="n">
        <v>0</v>
      </c>
      <c r="P11" t="n">
        <v>0</v>
      </c>
      <c r="Q11" t="n">
        <v>22</v>
      </c>
      <c r="R11" t="n">
        <v>4</v>
      </c>
      <c r="S11" t="n">
        <v>39</v>
      </c>
      <c r="T11" t="n">
        <v>147</v>
      </c>
      <c r="U11"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11">
        <f>HYPERLINK("https://klasma.github.io/Logging_FORSKNINGSRESAN_2023/artfynd/Gräsmyren artfynd.xlsx", "Gräsmyren")</f>
        <v/>
      </c>
      <c r="W11">
        <f>HYPERLINK("https://klasma.github.io/Logging_FORSKNINGSRESAN_2023/kartor/Gräsmyren karta.png", "Gräsmyren")</f>
        <v/>
      </c>
      <c r="X11">
        <f>HYPERLINK("https://klasma.github.io/Logging_FORSKNINGSRESAN_2023/kartor_geotiff/Gräsmyren georefererad karta.tif", "Gräsmyren")</f>
        <v/>
      </c>
      <c r="Z11">
        <f>HYPERLINK("https://klasma.github.io/Logging_FORSKNINGSRESAN_2023/klagomål/Gräsmyren FSC-klagomål.docx", "Gräsmyren")</f>
        <v/>
      </c>
      <c r="AA11">
        <f>HYPERLINK("https://klasma.github.io/Logging_FORSKNINGSRESAN_2023/klagomålsmail/Gräsmyren FSC-klagomål mail.docx", "Gräsmyren")</f>
        <v/>
      </c>
      <c r="AB11">
        <f>HYPERLINK("https://klasma.github.io/Logging_FORSKNINGSRESAN_2023/tillsyn/Gräsmyren tillsynsbegäran.docx", "Gräsmyren")</f>
        <v/>
      </c>
      <c r="AC11">
        <f>HYPERLINK("https://klasma.github.io/Logging_FORSKNINGSRESAN_2023/tillsynsmail/Gräsmyren tillsynsbegäran mail.docx", "Gräsmyren")</f>
        <v/>
      </c>
      <c r="AE11" t="inlineStr">
        <is>
          <t>SCA</t>
        </is>
      </c>
      <c r="AF11" t="inlineStr">
        <is>
          <t>Nej</t>
        </is>
      </c>
      <c r="AG11" t="n">
        <v/>
      </c>
      <c r="AH11" t="inlineStr">
        <is>
          <t>Sluttande myrmosaik? Måttligt påverkat av dikning?</t>
        </is>
      </c>
      <c r="AI11" t="inlineStr">
        <is>
          <t>Måttlig påverkan</t>
        </is>
      </c>
      <c r="AJ11" t="inlineStr">
        <is>
          <t>Ja</t>
        </is>
      </c>
      <c r="AK11" t="n">
        <v>1</v>
      </c>
      <c r="AL11" t="n">
        <v/>
      </c>
    </row>
    <row r="12" ht="15" customHeight="1">
      <c r="A12" t="inlineStr">
        <is>
          <t>Floarna</t>
        </is>
      </c>
      <c r="B12" t="inlineStr">
        <is>
          <t>avverkningsanmälan</t>
        </is>
      </c>
      <c r="D12" s="1" t="n">
        <v>46223</v>
      </c>
      <c r="E12" s="1" t="n">
        <v>46223</v>
      </c>
      <c r="F12" t="inlineStr">
        <is>
          <t>Jämtlands län</t>
        </is>
      </c>
      <c r="G12" t="inlineStr">
        <is>
          <t>Berg</t>
        </is>
      </c>
      <c r="I12" t="n">
        <v>724.7</v>
      </c>
      <c r="J12" t="n">
        <v>5</v>
      </c>
      <c r="K12" t="n">
        <v>3</v>
      </c>
      <c r="L12" t="n">
        <v>22</v>
      </c>
      <c r="M12" t="n">
        <v>7</v>
      </c>
      <c r="N12" t="n">
        <v>1</v>
      </c>
      <c r="O12" t="n">
        <v>0</v>
      </c>
      <c r="P12" t="n">
        <v>0</v>
      </c>
      <c r="Q12" t="n">
        <v>30</v>
      </c>
      <c r="R12" t="n">
        <v>8</v>
      </c>
      <c r="S12" t="n">
        <v>36</v>
      </c>
      <c r="T12" t="n">
        <v>139</v>
      </c>
      <c r="U12"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12">
        <f>HYPERLINK("https://klasma.github.io/Logging_FORSKNINGSRESAN_2023/artfynd/Floarna artfynd.xlsx", "Floarna")</f>
        <v/>
      </c>
      <c r="W12">
        <f>HYPERLINK("https://klasma.github.io/Logging_FORSKNINGSRESAN_2023/kartor/Floarna karta.png", "Floarna")</f>
        <v/>
      </c>
      <c r="X12">
        <f>HYPERLINK("https://klasma.github.io/Logging_FORSKNINGSRESAN_2023/kartor_geotiff/Floarna georefererad karta.tif", "Floarna")</f>
        <v/>
      </c>
      <c r="Y12">
        <f>HYPERLINK("https://klasma.github.io/Logging_FORSKNINGSRESAN_2023/knärot/Floarna karta knärot.png", "Floarna")</f>
        <v/>
      </c>
      <c r="Z12">
        <f>HYPERLINK("https://klasma.github.io/Logging_FORSKNINGSRESAN_2023/klagomål/Floarna FSC-klagomål.docx", "Floarna")</f>
        <v/>
      </c>
      <c r="AA12">
        <f>HYPERLINK("https://klasma.github.io/Logging_FORSKNINGSRESAN_2023/klagomålsmail/Floarna FSC-klagomål mail.docx", "Floarna")</f>
        <v/>
      </c>
      <c r="AB12">
        <f>HYPERLINK("https://klasma.github.io/Logging_FORSKNINGSRESAN_2023/tillsyn/Floarna tillsynsbegäran.docx", "Floarna")</f>
        <v/>
      </c>
      <c r="AC12">
        <f>HYPERLINK("https://klasma.github.io/Logging_FORSKNINGSRESAN_2023/tillsynsmail/Floarna tillsynsbegäran mail.docx", "Floarna")</f>
        <v/>
      </c>
      <c r="AD12">
        <f>HYPERLINK("https://klasma.github.io/Logging_FORSKNINGSRESAN_2023/fåglar/Floarna prioriterade fågelarter.docx", "Floarna")</f>
        <v/>
      </c>
      <c r="AE12" t="inlineStr">
        <is>
          <t>SCA</t>
        </is>
      </c>
      <c r="AF12" t="inlineStr">
        <is>
          <t>Ja, mindre i V</t>
        </is>
      </c>
      <c r="AG12" t="n">
        <v/>
      </c>
      <c r="AH12" t="inlineStr">
        <is>
          <t>Måste rekas noggrannt! Svårbedömt. Starkast i S troligen</t>
        </is>
      </c>
      <c r="AI12" t="inlineStr">
        <is>
          <t>Hög påverkan</t>
        </is>
      </c>
      <c r="AJ12" t="inlineStr">
        <is>
          <t>Ja</t>
        </is>
      </c>
      <c r="AK12" t="n">
        <v>1</v>
      </c>
      <c r="AL12" t="inlineStr">
        <is>
          <t>Stavakaraktär, ställvis gallrad
Artfynd. Gammeltallar och silverved</t>
        </is>
      </c>
    </row>
    <row r="13" ht="15" customHeight="1">
      <c r="A13" t="inlineStr">
        <is>
          <t>Juånäset</t>
        </is>
      </c>
      <c r="B13" t="inlineStr">
        <is>
          <t>avverkningsanmälan</t>
        </is>
      </c>
      <c r="D13" s="1" t="n">
        <v>46223</v>
      </c>
      <c r="E13" s="1" t="n">
        <v>46223</v>
      </c>
      <c r="F13" t="inlineStr">
        <is>
          <t>Jämtlands län</t>
        </is>
      </c>
      <c r="G13" t="inlineStr">
        <is>
          <t>Berg</t>
        </is>
      </c>
      <c r="I13" t="n">
        <v>94.90000000000001</v>
      </c>
      <c r="J13" t="n">
        <v>15</v>
      </c>
      <c r="K13" t="n">
        <v>7</v>
      </c>
      <c r="L13" t="n">
        <v>15</v>
      </c>
      <c r="M13" t="n">
        <v>2</v>
      </c>
      <c r="N13" t="n">
        <v>1</v>
      </c>
      <c r="O13" t="n">
        <v>0</v>
      </c>
      <c r="P13" t="n">
        <v>0</v>
      </c>
      <c r="Q13" t="n">
        <v>18</v>
      </c>
      <c r="R13" t="n">
        <v>3</v>
      </c>
      <c r="S13" t="n">
        <v>34</v>
      </c>
      <c r="T13" t="n">
        <v>109</v>
      </c>
      <c r="U13"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3">
        <f>HYPERLINK("https://klasma.github.io/Logging_FORSKNINGSRESAN_2023/artfynd/Juånäset artfynd.xlsx", "Juånäset")</f>
        <v/>
      </c>
      <c r="W13">
        <f>HYPERLINK("https://klasma.github.io/Logging_FORSKNINGSRESAN_2023/kartor/Juånäset karta.png", "Juånäset")</f>
        <v/>
      </c>
      <c r="X13">
        <f>HYPERLINK("https://klasma.github.io/Logging_FORSKNINGSRESAN_2023/kartor_geotiff/Juånäset georefererad karta.tif", "Juånäset")</f>
        <v/>
      </c>
      <c r="Y13">
        <f>HYPERLINK("https://klasma.github.io/Logging_FORSKNINGSRESAN_2023/knärot/Juånäset karta knärot.png", "Juånäset")</f>
        <v/>
      </c>
      <c r="Z13">
        <f>HYPERLINK("https://klasma.github.io/Logging_FORSKNINGSRESAN_2023/klagomål/Juånäset FSC-klagomål.docx", "Juånäset")</f>
        <v/>
      </c>
      <c r="AA13">
        <f>HYPERLINK("https://klasma.github.io/Logging_FORSKNINGSRESAN_2023/klagomålsmail/Juånäset FSC-klagomål mail.docx", "Juånäset")</f>
        <v/>
      </c>
      <c r="AB13">
        <f>HYPERLINK("https://klasma.github.io/Logging_FORSKNINGSRESAN_2023/tillsyn/Juånäset tillsynsbegäran.docx", "Juånäset")</f>
        <v/>
      </c>
      <c r="AC13">
        <f>HYPERLINK("https://klasma.github.io/Logging_FORSKNINGSRESAN_2023/tillsynsmail/Juånäset tillsynsbegäran mail.docx", "Juånäset")</f>
        <v/>
      </c>
      <c r="AD13">
        <f>HYPERLINK("https://klasma.github.io/Logging_FORSKNINGSRESAN_2023/fåglar/Juånäset prioriterade fågelarter.docx", "Juånäset")</f>
        <v/>
      </c>
      <c r="AE13" t="inlineStr">
        <is>
          <t>SCA</t>
        </is>
      </c>
      <c r="AF13" t="inlineStr">
        <is>
          <t>Helt avverkningsanmält</t>
        </is>
      </c>
      <c r="AG13" t="n">
        <v/>
      </c>
      <c r="AH13" t="inlineStr">
        <is>
          <t>Ser mycket bra ut</t>
        </is>
      </c>
      <c r="AI13" t="inlineStr">
        <is>
          <t>Låg påverkan</t>
        </is>
      </c>
      <c r="AJ13" t="inlineStr">
        <is>
          <t>Ja</t>
        </is>
      </c>
      <c r="AK13" t="n">
        <v>1</v>
      </c>
      <c r="AL13" t="inlineStr">
        <is>
          <t>Redan inventerat av Basti o Karolin</t>
        </is>
      </c>
    </row>
    <row r="14" ht="15" customHeight="1">
      <c r="A14" t="inlineStr">
        <is>
          <t>Fröbäckstjärnarna</t>
        </is>
      </c>
      <c r="B14" t="inlineStr">
        <is>
          <t>avverkningsanmälan</t>
        </is>
      </c>
      <c r="D14" s="1" t="n">
        <v>46223</v>
      </c>
      <c r="E14" s="1" t="n">
        <v>46223</v>
      </c>
      <c r="F14" t="inlineStr">
        <is>
          <t>Jämtlands län</t>
        </is>
      </c>
      <c r="G14" t="inlineStr">
        <is>
          <t>Berg</t>
        </is>
      </c>
      <c r="I14" t="n">
        <v>751.8</v>
      </c>
      <c r="J14" t="n">
        <v>7</v>
      </c>
      <c r="K14" t="n">
        <v>4</v>
      </c>
      <c r="L14" t="n">
        <v>20</v>
      </c>
      <c r="M14" t="n">
        <v>5</v>
      </c>
      <c r="N14" t="n">
        <v>1</v>
      </c>
      <c r="O14" t="n">
        <v>0</v>
      </c>
      <c r="P14" t="n">
        <v>0</v>
      </c>
      <c r="Q14" t="n">
        <v>26</v>
      </c>
      <c r="R14" t="n">
        <v>6</v>
      </c>
      <c r="S14" t="n">
        <v>34</v>
      </c>
      <c r="T14" t="n">
        <v>240</v>
      </c>
      <c r="U14"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4">
        <f>HYPERLINK("https://klasma.github.io/Logging_FORSKNINGSRESAN_2023/artfynd/Fröbäckstjärnarna artfynd.xlsx", "Fröbäckstjärnarna")</f>
        <v/>
      </c>
      <c r="W14">
        <f>HYPERLINK("https://klasma.github.io/Logging_FORSKNINGSRESAN_2023/kartor/Fröbäckstjärnarna karta.png", "Fröbäckstjärnarna")</f>
        <v/>
      </c>
      <c r="X14">
        <f>HYPERLINK("https://klasma.github.io/Logging_FORSKNINGSRESAN_2023/kartor_geotiff/Fröbäckstjärnarna georefererad karta.tif", "Fröbäckstjärnarna")</f>
        <v/>
      </c>
      <c r="Y14">
        <f>HYPERLINK("https://klasma.github.io/Logging_FORSKNINGSRESAN_2023/knärot/Fröbäckstjärnarna karta knärot.png", "Fröbäckstjärnarna")</f>
        <v/>
      </c>
      <c r="Z14">
        <f>HYPERLINK("https://klasma.github.io/Logging_FORSKNINGSRESAN_2023/klagomål/Fröbäckstjärnarna FSC-klagomål.docx", "Fröbäckstjärnarna")</f>
        <v/>
      </c>
      <c r="AA14">
        <f>HYPERLINK("https://klasma.github.io/Logging_FORSKNINGSRESAN_2023/klagomålsmail/Fröbäckstjärnarna FSC-klagomål mail.docx", "Fröbäckstjärnarna")</f>
        <v/>
      </c>
      <c r="AB14">
        <f>HYPERLINK("https://klasma.github.io/Logging_FORSKNINGSRESAN_2023/tillsyn/Fröbäckstjärnarna tillsynsbegäran.docx", "Fröbäckstjärnarna")</f>
        <v/>
      </c>
      <c r="AC14">
        <f>HYPERLINK("https://klasma.github.io/Logging_FORSKNINGSRESAN_2023/tillsynsmail/Fröbäckstjärnarna tillsynsbegäran mail.docx", "Fröbäckstjärnarna")</f>
        <v/>
      </c>
      <c r="AD14">
        <f>HYPERLINK("https://klasma.github.io/Logging_FORSKNINGSRESAN_2023/fåglar/Fröbäckstjärnarna prioriterade fågelarter.docx", "Fröbäckstjärnarna")</f>
        <v/>
      </c>
      <c r="AE14" t="inlineStr">
        <is>
          <t>SCA</t>
        </is>
      </c>
      <c r="AF14" t="inlineStr">
        <is>
          <t>Ja, ett par ganska stor</t>
        </is>
      </c>
      <c r="AG14" t="n">
        <v/>
      </c>
      <c r="AH14" t="inlineStr">
        <is>
          <t>Enormt område, mycket svårbedömt, måste rekas noggrannt!!!</t>
        </is>
      </c>
      <c r="AI14" t="inlineStr">
        <is>
          <t>Troligen hög</t>
        </is>
      </c>
      <c r="AJ14" t="inlineStr">
        <is>
          <t>Ja</t>
        </is>
      </c>
      <c r="AK14" t="n">
        <v>1</v>
      </c>
      <c r="AL14" t="inlineStr">
        <is>
          <t>Märrviksbodarna (Basti): Produktiva tallskogar, ofta genomgallrade
Granskogsområden ser fina ut.</t>
        </is>
      </c>
    </row>
    <row r="15" ht="15" customHeight="1">
      <c r="A15" t="inlineStr">
        <is>
          <t>Galvattsberget</t>
        </is>
      </c>
      <c r="B15" t="inlineStr">
        <is>
          <t>avverkningsanmälan</t>
        </is>
      </c>
      <c r="D15" s="1" t="n">
        <v>46223</v>
      </c>
      <c r="E15" s="1" t="n">
        <v>46223</v>
      </c>
      <c r="F15" t="inlineStr">
        <is>
          <t>Jämtlands län</t>
        </is>
      </c>
      <c r="G15" t="inlineStr">
        <is>
          <t>Berg</t>
        </is>
      </c>
      <c r="I15" t="n">
        <v>227.4</v>
      </c>
      <c r="J15" t="n">
        <v>4</v>
      </c>
      <c r="K15" t="n">
        <v>12</v>
      </c>
      <c r="L15" t="n">
        <v>15</v>
      </c>
      <c r="M15" t="n">
        <v>4</v>
      </c>
      <c r="N15" t="n">
        <v>0</v>
      </c>
      <c r="O15" t="n">
        <v>0</v>
      </c>
      <c r="P15" t="n">
        <v>0</v>
      </c>
      <c r="Q15" t="n">
        <v>19</v>
      </c>
      <c r="R15" t="n">
        <v>4</v>
      </c>
      <c r="S15" t="n">
        <v>31</v>
      </c>
      <c r="T15" t="n">
        <v>133</v>
      </c>
      <c r="U15" s="2" t="inlineStr">
        <is>
          <t>Blackticka
Doftticka
Garnlav
Knärot
Doftskinn
Dvärgbägarlav
Gammelgransskål
Harticka
Kolflarnlav
Lunglav
Mörk kolflarnlav
Rosenticka
Rynkskinn
Skrovellav
Skrovlig flatbagge
Tretåig hackspett
Ullticka
Vedskivlav
Violettgrå tagellav
Bronshjon
Bårdlav
Korallblylav
Kransrams
Luddlav
Nästlav
Skinnlav
Spindelblomster
Stuplav
Trådticka
Vedticka
Ögonpyrola</t>
        </is>
      </c>
      <c r="V15">
        <f>HYPERLINK("https://klasma.github.io/Logging_FORSKNINGSRESAN_2023/artfynd/Galvattsberget artfynd.xlsx", "Galvattsberget")</f>
        <v/>
      </c>
      <c r="W15">
        <f>HYPERLINK("https://klasma.github.io/Logging_FORSKNINGSRESAN_2023/kartor/Galvattsberget karta.png", "Galvattsberget")</f>
        <v/>
      </c>
      <c r="X15">
        <f>HYPERLINK("https://klasma.github.io/Logging_FORSKNINGSRESAN_2023/kartor_geotiff/Galvattsberget georefererad karta.tif", "Galvattsberget")</f>
        <v/>
      </c>
      <c r="Y15">
        <f>HYPERLINK("https://klasma.github.io/Logging_FORSKNINGSRESAN_2023/knärot/Galvattsberget karta knärot.png", "Galvattsberget")</f>
        <v/>
      </c>
      <c r="Z15">
        <f>HYPERLINK("https://klasma.github.io/Logging_FORSKNINGSRESAN_2023/klagomål/Galvattsberget FSC-klagomål.docx", "Galvattsberget")</f>
        <v/>
      </c>
      <c r="AA15">
        <f>HYPERLINK("https://klasma.github.io/Logging_FORSKNINGSRESAN_2023/klagomålsmail/Galvattsberget FSC-klagomål mail.docx", "Galvattsberget")</f>
        <v/>
      </c>
      <c r="AB15">
        <f>HYPERLINK("https://klasma.github.io/Logging_FORSKNINGSRESAN_2023/tillsyn/Galvattsberget tillsynsbegäran.docx", "Galvattsberget")</f>
        <v/>
      </c>
      <c r="AC15">
        <f>HYPERLINK("https://klasma.github.io/Logging_FORSKNINGSRESAN_2023/tillsynsmail/Galvattsberget tillsynsbegäran mail.docx", "Galvattsberget")</f>
        <v/>
      </c>
      <c r="AD15">
        <f>HYPERLINK("https://klasma.github.io/Logging_FORSKNINGSRESAN_2023/fåglar/Galvattsberget prioriterade fågelarter.docx", "Galvattsberget")</f>
        <v/>
      </c>
      <c r="AE15" t="inlineStr">
        <is>
          <t>SCA</t>
        </is>
      </c>
      <c r="AF15" t="inlineStr">
        <is>
          <t>Nej</t>
        </is>
      </c>
      <c r="AH15" t="inlineStr">
        <is>
          <t>Brant! Fokusera på N och S. Ser bra ut!</t>
        </is>
      </c>
      <c r="AI15" t="inlineStr">
        <is>
          <t>Låg påverkan</t>
        </is>
      </c>
      <c r="AJ15" t="inlineStr">
        <is>
          <t>Ja</t>
        </is>
      </c>
      <c r="AK15" t="n">
        <v>2</v>
      </c>
      <c r="AL15" t="n">
        <v/>
      </c>
    </row>
    <row r="16" ht="15" customHeight="1">
      <c r="A16" t="inlineStr">
        <is>
          <t>Gärdsjögucken</t>
        </is>
      </c>
      <c r="B16" t="inlineStr">
        <is>
          <t>avverkningsanmälan</t>
        </is>
      </c>
      <c r="D16" s="1" t="n">
        <v>46223</v>
      </c>
      <c r="E16" s="1" t="n">
        <v>46223</v>
      </c>
      <c r="F16" t="inlineStr">
        <is>
          <t>Jämtlands län</t>
        </is>
      </c>
      <c r="G16" t="inlineStr">
        <is>
          <t>Berg</t>
        </is>
      </c>
      <c r="I16" t="n">
        <v>57.5</v>
      </c>
      <c r="J16" t="n">
        <v>5</v>
      </c>
      <c r="K16" t="n">
        <v>6</v>
      </c>
      <c r="L16" t="n">
        <v>17</v>
      </c>
      <c r="M16" t="n">
        <v>3</v>
      </c>
      <c r="N16" t="n">
        <v>0</v>
      </c>
      <c r="O16" t="n">
        <v>0</v>
      </c>
      <c r="P16" t="n">
        <v>0</v>
      </c>
      <c r="Q16" t="n">
        <v>20</v>
      </c>
      <c r="R16" t="n">
        <v>3</v>
      </c>
      <c r="S16" t="n">
        <v>28</v>
      </c>
      <c r="T16" t="n">
        <v>193</v>
      </c>
      <c r="U16" s="2" t="inlineStr">
        <is>
          <t>Garnlav
Gräddporing
Knärot
Blågrå svartspik
Brunpudrad nållav
Dropptaggsvamp
Dvärgbägarlav
Kolflarnlav
Kortskaftad ärgspik
Lunglav
Mörk kolflarnlav
Nordtagging
Skrovellav
Talltita
Tretåig hackspett
Ullticka
Vedflamlav
Vedskivlav
Vedtrappmossa
Violettgrå tagellav
Barkkornlav
Blodticka
Korallblylav
Norrlandslav
Stuplav
Vedticka
Järpe
Tjäder</t>
        </is>
      </c>
      <c r="V16">
        <f>HYPERLINK("https://klasma.github.io/Logging_FORSKNINGSRESAN_2023/artfynd/Gärdsjögucken artfynd.xlsx", "Gärdsjögucken")</f>
        <v/>
      </c>
      <c r="W16">
        <f>HYPERLINK("https://klasma.github.io/Logging_FORSKNINGSRESAN_2023/kartor/Gärdsjögucken karta.png", "Gärdsjögucken")</f>
        <v/>
      </c>
      <c r="X16">
        <f>HYPERLINK("https://klasma.github.io/Logging_FORSKNINGSRESAN_2023/kartor_geotiff/Gärdsjögucken georefererad karta.tif", "Gärdsjögucken")</f>
        <v/>
      </c>
      <c r="Y16">
        <f>HYPERLINK("https://klasma.github.io/Logging_FORSKNINGSRESAN_2023/knärot/Gärdsjögucken karta knärot.png", "Gärdsjögucken")</f>
        <v/>
      </c>
      <c r="Z16">
        <f>HYPERLINK("https://klasma.github.io/Logging_FORSKNINGSRESAN_2023/klagomål/Gärdsjögucken FSC-klagomål.docx", "Gärdsjögucken")</f>
        <v/>
      </c>
      <c r="AA16">
        <f>HYPERLINK("https://klasma.github.io/Logging_FORSKNINGSRESAN_2023/klagomålsmail/Gärdsjögucken FSC-klagomål mail.docx", "Gärdsjögucken")</f>
        <v/>
      </c>
      <c r="AB16">
        <f>HYPERLINK("https://klasma.github.io/Logging_FORSKNINGSRESAN_2023/tillsyn/Gärdsjögucken tillsynsbegäran.docx", "Gärdsjögucken")</f>
        <v/>
      </c>
      <c r="AC16">
        <f>HYPERLINK("https://klasma.github.io/Logging_FORSKNINGSRESAN_2023/tillsynsmail/Gärdsjögucken tillsynsbegäran mail.docx", "Gärdsjögucken")</f>
        <v/>
      </c>
      <c r="AD16">
        <f>HYPERLINK("https://klasma.github.io/Logging_FORSKNINGSRESAN_2023/fåglar/Gärdsjögucken prioriterade fågelarter.docx", "Gärdsjögucken")</f>
        <v/>
      </c>
      <c r="AE16" t="inlineStr">
        <is>
          <t>SCA</t>
        </is>
      </c>
      <c r="AF16" t="inlineStr">
        <is>
          <t>Nej</t>
        </is>
      </c>
      <c r="AH16" t="inlineStr">
        <is>
          <t>Gissningsvis tät stavatall</t>
        </is>
      </c>
      <c r="AI16" t="inlineStr">
        <is>
          <t>Måttlig påverkan</t>
        </is>
      </c>
      <c r="AJ16" t="inlineStr">
        <is>
          <t>Ja</t>
        </is>
      </c>
      <c r="AK16" t="n">
        <v>2</v>
      </c>
      <c r="AL16" t="n">
        <v/>
      </c>
    </row>
    <row r="17" ht="15" customHeight="1">
      <c r="A17" t="inlineStr">
        <is>
          <t>Bodsjön</t>
        </is>
      </c>
      <c r="B17" t="inlineStr">
        <is>
          <t>avverkningsanmälan</t>
        </is>
      </c>
      <c r="D17" s="1" t="n">
        <v>46223</v>
      </c>
      <c r="E17" s="1" t="n">
        <v>46223</v>
      </c>
      <c r="F17" t="inlineStr">
        <is>
          <t>Jämtlands län</t>
        </is>
      </c>
      <c r="G17" t="inlineStr">
        <is>
          <t>Berg</t>
        </is>
      </c>
      <c r="I17" t="n">
        <v>49.7</v>
      </c>
      <c r="J17" t="n">
        <v>5</v>
      </c>
      <c r="K17" t="n">
        <v>7</v>
      </c>
      <c r="L17" t="n">
        <v>11</v>
      </c>
      <c r="M17" t="n">
        <v>2</v>
      </c>
      <c r="N17" t="n">
        <v>0</v>
      </c>
      <c r="O17" t="n">
        <v>0</v>
      </c>
      <c r="P17" t="n">
        <v>0</v>
      </c>
      <c r="Q17" t="n">
        <v>13</v>
      </c>
      <c r="R17" t="n">
        <v>2</v>
      </c>
      <c r="S17" t="n">
        <v>25</v>
      </c>
      <c r="T17" t="n">
        <v>90</v>
      </c>
      <c r="U17"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7">
        <f>HYPERLINK("https://klasma.github.io/Logging_FORSKNINGSRESAN_2023/artfynd/Bodsjön artfynd.xlsx", "Bodsjön")</f>
        <v/>
      </c>
      <c r="W17">
        <f>HYPERLINK("https://klasma.github.io/Logging_FORSKNINGSRESAN_2023/kartor/Bodsjön karta.png", "Bodsjön")</f>
        <v/>
      </c>
      <c r="X17">
        <f>HYPERLINK("https://klasma.github.io/Logging_FORSKNINGSRESAN_2023/kartor_geotiff/Bodsjön georefererad karta.tif", "Bodsjön")</f>
        <v/>
      </c>
      <c r="Y17">
        <f>HYPERLINK("https://klasma.github.io/Logging_FORSKNINGSRESAN_2023/knärot/Bodsjön karta knärot.png", "Bodsjön")</f>
        <v/>
      </c>
      <c r="Z17">
        <f>HYPERLINK("https://klasma.github.io/Logging_FORSKNINGSRESAN_2023/klagomål/Bodsjön FSC-klagomål.docx", "Bodsjön")</f>
        <v/>
      </c>
      <c r="AA17">
        <f>HYPERLINK("https://klasma.github.io/Logging_FORSKNINGSRESAN_2023/klagomålsmail/Bodsjön FSC-klagomål mail.docx", "Bodsjön")</f>
        <v/>
      </c>
      <c r="AB17">
        <f>HYPERLINK("https://klasma.github.io/Logging_FORSKNINGSRESAN_2023/tillsyn/Bodsjön tillsynsbegäran.docx", "Bodsjön")</f>
        <v/>
      </c>
      <c r="AC17">
        <f>HYPERLINK("https://klasma.github.io/Logging_FORSKNINGSRESAN_2023/tillsynsmail/Bodsjön tillsynsbegäran mail.docx", "Bodsjön")</f>
        <v/>
      </c>
      <c r="AD17">
        <f>HYPERLINK("https://klasma.github.io/Logging_FORSKNINGSRESAN_2023/fåglar/Bodsjön prioriterade fågelarter.docx", "Bodsjön")</f>
        <v/>
      </c>
      <c r="AE17" t="inlineStr">
        <is>
          <t>SCA</t>
        </is>
      </c>
      <c r="AF17" t="inlineStr">
        <is>
          <t>Hela N halvan avv</t>
        </is>
      </c>
      <c r="AG17" t="inlineStr">
        <is>
          <t>Delvis</t>
        </is>
      </c>
      <c r="AH17" t="inlineStr">
        <is>
          <t>Hårt påverkat, men ser bra ut</t>
        </is>
      </c>
      <c r="AI17" t="inlineStr">
        <is>
          <t>Hög påverkan</t>
        </is>
      </c>
      <c r="AJ17" t="inlineStr">
        <is>
          <t>Ja</t>
        </is>
      </c>
      <c r="AK17" t="n">
        <v>1</v>
      </c>
      <c r="AL17" t="inlineStr">
        <is>
          <t>Lst: skogen väster därom inventerades av lst 2004 och bedömdes som lägre naturvärden</t>
        </is>
      </c>
    </row>
    <row r="18" ht="15" customHeight="1">
      <c r="A18" t="inlineStr">
        <is>
          <t>Holmnäset</t>
        </is>
      </c>
      <c r="B18" t="inlineStr">
        <is>
          <t>avverkningsanmälan</t>
        </is>
      </c>
      <c r="D18" s="1" t="n">
        <v>46223</v>
      </c>
      <c r="E18" s="1" t="n">
        <v>46223</v>
      </c>
      <c r="F18" t="inlineStr">
        <is>
          <t>Jämtlands län</t>
        </is>
      </c>
      <c r="G18" t="inlineStr">
        <is>
          <t>Berg</t>
        </is>
      </c>
      <c r="I18" t="n">
        <v>163.9</v>
      </c>
      <c r="J18" t="n">
        <v>1</v>
      </c>
      <c r="K18" t="n">
        <v>5</v>
      </c>
      <c r="L18" t="n">
        <v>15</v>
      </c>
      <c r="M18" t="n">
        <v>4</v>
      </c>
      <c r="N18" t="n">
        <v>1</v>
      </c>
      <c r="O18" t="n">
        <v>0</v>
      </c>
      <c r="P18" t="n">
        <v>0</v>
      </c>
      <c r="Q18" t="n">
        <v>20</v>
      </c>
      <c r="R18" t="n">
        <v>5</v>
      </c>
      <c r="S18" t="n">
        <v>25</v>
      </c>
      <c r="T18" t="n">
        <v>141</v>
      </c>
      <c r="U18"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8">
        <f>HYPERLINK("https://klasma.github.io/Logging_FORSKNINGSRESAN_2023/artfynd/Holmnäset artfynd.xlsx", "Holmnäset")</f>
        <v/>
      </c>
      <c r="W18">
        <f>HYPERLINK("https://klasma.github.io/Logging_FORSKNINGSRESAN_2023/kartor/Holmnäset karta.png", "Holmnäset")</f>
        <v/>
      </c>
      <c r="X18">
        <f>HYPERLINK("https://klasma.github.io/Logging_FORSKNINGSRESAN_2023/kartor_geotiff/Holmnäset georefererad karta.tif", "Holmnäset")</f>
        <v/>
      </c>
      <c r="Y18">
        <f>HYPERLINK("https://klasma.github.io/Logging_FORSKNINGSRESAN_2023/knärot/Holmnäset karta knärot.png", "Holmnäset")</f>
        <v/>
      </c>
      <c r="Z18">
        <f>HYPERLINK("https://klasma.github.io/Logging_FORSKNINGSRESAN_2023/klagomål/Holmnäset FSC-klagomål.docx", "Holmnäset")</f>
        <v/>
      </c>
      <c r="AA18">
        <f>HYPERLINK("https://klasma.github.io/Logging_FORSKNINGSRESAN_2023/klagomålsmail/Holmnäset FSC-klagomål mail.docx", "Holmnäset")</f>
        <v/>
      </c>
      <c r="AB18">
        <f>HYPERLINK("https://klasma.github.io/Logging_FORSKNINGSRESAN_2023/tillsyn/Holmnäset tillsynsbegäran.docx", "Holmnäset")</f>
        <v/>
      </c>
      <c r="AC18">
        <f>HYPERLINK("https://klasma.github.io/Logging_FORSKNINGSRESAN_2023/tillsynsmail/Holmnäset tillsynsbegäran mail.docx", "Holmnäset")</f>
        <v/>
      </c>
      <c r="AE18" t="inlineStr">
        <is>
          <t>SCA</t>
        </is>
      </c>
      <c r="AF18" t="inlineStr">
        <is>
          <t>Enorm avverkningsanmälan</t>
        </is>
      </c>
      <c r="AG18" t="n">
        <v/>
      </c>
      <c r="AH18" t="inlineStr">
        <is>
          <t>Ser ut att vara stavatall</t>
        </is>
      </c>
      <c r="AI18" t="inlineStr">
        <is>
          <t>Låg, kanske något gallrad</t>
        </is>
      </c>
      <c r="AJ18" t="inlineStr">
        <is>
          <t>Ja</t>
        </is>
      </c>
      <c r="AK18" t="n">
        <v>1</v>
      </c>
      <c r="AL18" t="inlineStr">
        <is>
          <t>Redan inventerat av Basti o Karolin</t>
        </is>
      </c>
    </row>
    <row r="19" ht="15" customHeight="1">
      <c r="A19" t="inlineStr">
        <is>
          <t>Rörmyrberget utökn N</t>
        </is>
      </c>
      <c r="B19" t="inlineStr">
        <is>
          <t>avverkningsanmälan</t>
        </is>
      </c>
      <c r="D19" s="1" t="n">
        <v>46223</v>
      </c>
      <c r="E19" s="1" t="n">
        <v>46223</v>
      </c>
      <c r="F19" t="inlineStr">
        <is>
          <t>Jämtlands län</t>
        </is>
      </c>
      <c r="G19" t="inlineStr">
        <is>
          <t>Berg</t>
        </is>
      </c>
      <c r="I19" t="n">
        <v>232.4</v>
      </c>
      <c r="J19" t="n">
        <v>5</v>
      </c>
      <c r="K19" t="n">
        <v>6</v>
      </c>
      <c r="L19" t="n">
        <v>14</v>
      </c>
      <c r="M19" t="n">
        <v>3</v>
      </c>
      <c r="N19" t="n">
        <v>0</v>
      </c>
      <c r="O19" t="n">
        <v>0</v>
      </c>
      <c r="P19" t="n">
        <v>0</v>
      </c>
      <c r="Q19" t="n">
        <v>17</v>
      </c>
      <c r="R19" t="n">
        <v>3</v>
      </c>
      <c r="S19" t="n">
        <v>25</v>
      </c>
      <c r="T19" t="n">
        <v>85</v>
      </c>
      <c r="U19" s="2" t="inlineStr">
        <is>
          <t>Fläckporing
Garnlav
Knärot
Dvärgbägarlav
Lunglav
Mörk kolflarnlav
Nordtagging
Reliktbock
Slät tallkapuschongbagge
Stiftgelélav
Tallticka
Talltita
Tretåig hackspett
Ullticka
Vedflamlav
Vedtrappmossa
Vitplätt
Bollvitmossa
Grönpyrola
Korallblylav
Norrlandslav
Skinnlav
Stuplav
Orre
Nattviol</t>
        </is>
      </c>
      <c r="V19">
        <f>HYPERLINK("https://klasma.github.io/Logging_FORSKNINGSRESAN_2023/artfynd/Rörmyrberget utökn N artfynd.xlsx", "Rörmyrberget utökn N")</f>
        <v/>
      </c>
      <c r="W19">
        <f>HYPERLINK("https://klasma.github.io/Logging_FORSKNINGSRESAN_2023/kartor/Rörmyrberget utökn N karta.png", "Rörmyrberget utökn N")</f>
        <v/>
      </c>
      <c r="X19">
        <f>HYPERLINK("https://klasma.github.io/Logging_FORSKNINGSRESAN_2023/kartor_geotiff/Rörmyrberget utökn N georefererad karta.tif", "Rörmyrberget utökn N")</f>
        <v/>
      </c>
      <c r="Y19">
        <f>HYPERLINK("https://klasma.github.io/Logging_FORSKNINGSRESAN_2023/knärot/Rörmyrberget utökn N karta knärot.png", "Rörmyrberget utökn N")</f>
        <v/>
      </c>
      <c r="Z19">
        <f>HYPERLINK("https://klasma.github.io/Logging_FORSKNINGSRESAN_2023/klagomål/Rörmyrberget utökn N FSC-klagomål.docx", "Rörmyrberget utökn N")</f>
        <v/>
      </c>
      <c r="AA19">
        <f>HYPERLINK("https://klasma.github.io/Logging_FORSKNINGSRESAN_2023/klagomålsmail/Rörmyrberget utökn N FSC-klagomål mail.docx", "Rörmyrberget utökn N")</f>
        <v/>
      </c>
      <c r="AB19">
        <f>HYPERLINK("https://klasma.github.io/Logging_FORSKNINGSRESAN_2023/tillsyn/Rörmyrberget utökn N tillsynsbegäran.docx", "Rörmyrberget utökn N")</f>
        <v/>
      </c>
      <c r="AC19">
        <f>HYPERLINK("https://klasma.github.io/Logging_FORSKNINGSRESAN_2023/tillsynsmail/Rörmyrberget utökn N tillsynsbegäran mail.docx", "Rörmyrberget utökn N")</f>
        <v/>
      </c>
      <c r="AD19">
        <f>HYPERLINK("https://klasma.github.io/Logging_FORSKNINGSRESAN_2023/fåglar/Rörmyrberget utökn N prioriterade fågelarter.docx", "Rörmyrberget utökn N")</f>
        <v/>
      </c>
      <c r="AE19" t="inlineStr">
        <is>
          <t>SCA</t>
        </is>
      </c>
      <c r="AF19" t="inlineStr">
        <is>
          <t>Endast lite i V</t>
        </is>
      </c>
      <c r="AH19" t="inlineStr">
        <is>
          <t>Ser ganska påverkat ut</t>
        </is>
      </c>
      <c r="AI19" t="inlineStr">
        <is>
          <t>Måttlig påverkan</t>
        </is>
      </c>
      <c r="AJ19" t="inlineStr">
        <is>
          <t>Ja</t>
        </is>
      </c>
      <c r="AK19" t="n">
        <v>2</v>
      </c>
      <c r="AL19" t="n">
        <v/>
      </c>
    </row>
    <row r="20" ht="15" customHeight="1">
      <c r="A20" t="inlineStr">
        <is>
          <t>Staverberget SCA</t>
        </is>
      </c>
      <c r="B20" t="inlineStr">
        <is>
          <t>avverkningsanmälan</t>
        </is>
      </c>
      <c r="D20" s="1" t="n">
        <v>46223</v>
      </c>
      <c r="E20" s="1" t="n">
        <v>46223</v>
      </c>
      <c r="F20" t="inlineStr">
        <is>
          <t>Jämtlands län</t>
        </is>
      </c>
      <c r="G20" t="inlineStr">
        <is>
          <t>Berg</t>
        </is>
      </c>
      <c r="I20" t="n">
        <v>115.3</v>
      </c>
      <c r="J20" t="n">
        <v>7</v>
      </c>
      <c r="K20" t="n">
        <v>3</v>
      </c>
      <c r="L20" t="n">
        <v>13</v>
      </c>
      <c r="M20" t="n">
        <v>4</v>
      </c>
      <c r="N20" t="n">
        <v>0</v>
      </c>
      <c r="O20" t="n">
        <v>0</v>
      </c>
      <c r="P20" t="n">
        <v>0</v>
      </c>
      <c r="Q20" t="n">
        <v>17</v>
      </c>
      <c r="R20" t="n">
        <v>4</v>
      </c>
      <c r="S20" t="n">
        <v>23</v>
      </c>
      <c r="T20" t="n">
        <v>82</v>
      </c>
      <c r="U20"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20">
        <f>HYPERLINK("https://klasma.github.io/Logging_FORSKNINGSRESAN_2023/artfynd/Staverberget SCA artfynd.xlsx", "Staverberget SCA")</f>
        <v/>
      </c>
      <c r="W20">
        <f>HYPERLINK("https://klasma.github.io/Logging_FORSKNINGSRESAN_2023/kartor/Staverberget SCA karta.png", "Staverberget SCA")</f>
        <v/>
      </c>
      <c r="X20">
        <f>HYPERLINK("https://klasma.github.io/Logging_FORSKNINGSRESAN_2023/kartor_geotiff/Staverberget SCA georefererad karta.tif", "Staverberget SCA")</f>
        <v/>
      </c>
      <c r="Y20">
        <f>HYPERLINK("https://klasma.github.io/Logging_FORSKNINGSRESAN_2023/knärot/Staverberget SCA karta knärot.png", "Staverberget SCA")</f>
        <v/>
      </c>
      <c r="Z20">
        <f>HYPERLINK("https://klasma.github.io/Logging_FORSKNINGSRESAN_2023/klagomål/Staverberget SCA FSC-klagomål.docx", "Staverberget SCA")</f>
        <v/>
      </c>
      <c r="AA20">
        <f>HYPERLINK("https://klasma.github.io/Logging_FORSKNINGSRESAN_2023/klagomålsmail/Staverberget SCA FSC-klagomål mail.docx", "Staverberget SCA")</f>
        <v/>
      </c>
      <c r="AB20">
        <f>HYPERLINK("https://klasma.github.io/Logging_FORSKNINGSRESAN_2023/tillsyn/Staverberget SCA tillsynsbegäran.docx", "Staverberget SCA")</f>
        <v/>
      </c>
      <c r="AC20">
        <f>HYPERLINK("https://klasma.github.io/Logging_FORSKNINGSRESAN_2023/tillsynsmail/Staverberget SCA tillsynsbegäran mail.docx", "Staverberget SCA")</f>
        <v/>
      </c>
      <c r="AD20">
        <f>HYPERLINK("https://klasma.github.io/Logging_FORSKNINGSRESAN_2023/fåglar/Staverberget SCA prioriterade fågelarter.docx", "Staverberget SCA")</f>
        <v/>
      </c>
      <c r="AE20" t="inlineStr">
        <is>
          <t>SCA</t>
        </is>
      </c>
      <c r="AF20" t="inlineStr">
        <is>
          <t>Ja, stor avv centralt</t>
        </is>
      </c>
      <c r="AG20" t="n">
        <v/>
      </c>
      <c r="AH20" t="inlineStr">
        <is>
          <t>Ser bra ut! Gallrat i norr</t>
        </is>
      </c>
      <c r="AI20" t="inlineStr">
        <is>
          <t>Måttlig påverkan</t>
        </is>
      </c>
      <c r="AJ20" t="inlineStr">
        <is>
          <t>Ja</t>
        </is>
      </c>
      <c r="AK20" t="n">
        <v/>
      </c>
      <c r="AL20" t="n">
        <v/>
      </c>
    </row>
    <row r="21" ht="15" customHeight="1">
      <c r="A21" t="inlineStr">
        <is>
          <t>Björnbäcken</t>
        </is>
      </c>
      <c r="B21" t="inlineStr">
        <is>
          <t>avverkningsanmälan</t>
        </is>
      </c>
      <c r="D21" s="1" t="n">
        <v>46223</v>
      </c>
      <c r="E21" s="1" t="n">
        <v>46223</v>
      </c>
      <c r="F21" t="inlineStr">
        <is>
          <t>Jämtlands län</t>
        </is>
      </c>
      <c r="G21" t="inlineStr">
        <is>
          <t>Berg</t>
        </is>
      </c>
      <c r="I21" t="n">
        <v>61.4</v>
      </c>
      <c r="J21" t="n">
        <v>5</v>
      </c>
      <c r="K21" t="n">
        <v>5</v>
      </c>
      <c r="L21" t="n">
        <v>12</v>
      </c>
      <c r="M21" t="n">
        <v>3</v>
      </c>
      <c r="N21" t="n">
        <v>0</v>
      </c>
      <c r="O21" t="n">
        <v>0</v>
      </c>
      <c r="P21" t="n">
        <v>0</v>
      </c>
      <c r="Q21" t="n">
        <v>15</v>
      </c>
      <c r="R21" t="n">
        <v>3</v>
      </c>
      <c r="S21" t="n">
        <v>23</v>
      </c>
      <c r="T21" t="n">
        <v>74</v>
      </c>
      <c r="U21"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21">
        <f>HYPERLINK("https://klasma.github.io/Logging_FORSKNINGSRESAN_2023/artfynd/Björnbäcken artfynd.xlsx", "Björnbäcken")</f>
        <v/>
      </c>
      <c r="W21">
        <f>HYPERLINK("https://klasma.github.io/Logging_FORSKNINGSRESAN_2023/kartor/Björnbäcken karta.png", "Björnbäcken")</f>
        <v/>
      </c>
      <c r="X21">
        <f>HYPERLINK("https://klasma.github.io/Logging_FORSKNINGSRESAN_2023/kartor_geotiff/Björnbäcken georefererad karta.tif", "Björnbäcken")</f>
        <v/>
      </c>
      <c r="Y21">
        <f>HYPERLINK("https://klasma.github.io/Logging_FORSKNINGSRESAN_2023/knärot/Björnbäcken karta knärot.png", "Björnbäcken")</f>
        <v/>
      </c>
      <c r="Z21">
        <f>HYPERLINK("https://klasma.github.io/Logging_FORSKNINGSRESAN_2023/klagomål/Björnbäcken FSC-klagomål.docx", "Björnbäcken")</f>
        <v/>
      </c>
      <c r="AA21">
        <f>HYPERLINK("https://klasma.github.io/Logging_FORSKNINGSRESAN_2023/klagomålsmail/Björnbäcken FSC-klagomål mail.docx", "Björnbäcken")</f>
        <v/>
      </c>
      <c r="AB21">
        <f>HYPERLINK("https://klasma.github.io/Logging_FORSKNINGSRESAN_2023/tillsyn/Björnbäcken tillsynsbegäran.docx", "Björnbäcken")</f>
        <v/>
      </c>
      <c r="AC21">
        <f>HYPERLINK("https://klasma.github.io/Logging_FORSKNINGSRESAN_2023/tillsynsmail/Björnbäcken tillsynsbegäran mail.docx", "Björnbäcken")</f>
        <v/>
      </c>
      <c r="AD21">
        <f>HYPERLINK("https://klasma.github.io/Logging_FORSKNINGSRESAN_2023/fåglar/Björnbäcken prioriterade fågelarter.docx", "Björnbäcken")</f>
        <v/>
      </c>
      <c r="AE21" t="inlineStr">
        <is>
          <t>SCA + privat i SV</t>
        </is>
      </c>
      <c r="AF21" t="inlineStr">
        <is>
          <t>Ja, i N</t>
        </is>
      </c>
      <c r="AG21" t="n">
        <v/>
      </c>
      <c r="AH21" t="inlineStr">
        <is>
          <t>Ser bra ut, lövrik granskog?</t>
        </is>
      </c>
      <c r="AI21" t="inlineStr">
        <is>
          <t>Låg</t>
        </is>
      </c>
      <c r="AJ21" t="inlineStr">
        <is>
          <t>Ja</t>
        </is>
      </c>
      <c r="AK21" t="n">
        <v>1</v>
      </c>
      <c r="AL21" t="inlineStr">
        <is>
          <t>a: Blndsumpskog, hänglavrik. Senvuxna granar och spridd död ved. Tretåig hackspett. Gammelskog. b: lövrik granskog ca 80-100år. Orörd, kolvedshuggning. Örtrik. Spridda gammalgranar</t>
        </is>
      </c>
    </row>
    <row r="22" ht="15" customHeight="1">
      <c r="A22" t="inlineStr">
        <is>
          <t>Gucken</t>
        </is>
      </c>
      <c r="B22" t="inlineStr">
        <is>
          <t>avverkningsanmälan</t>
        </is>
      </c>
      <c r="D22" s="1" t="n">
        <v>46223</v>
      </c>
      <c r="E22" s="1" t="n">
        <v>46223</v>
      </c>
      <c r="F22" t="inlineStr">
        <is>
          <t>Jämtlands län</t>
        </is>
      </c>
      <c r="G22" t="inlineStr">
        <is>
          <t>Berg</t>
        </is>
      </c>
      <c r="I22" t="n">
        <v>44</v>
      </c>
      <c r="J22" t="n">
        <v>7</v>
      </c>
      <c r="K22" t="n">
        <v>3</v>
      </c>
      <c r="L22" t="n">
        <v>12</v>
      </c>
      <c r="M22" t="n">
        <v>5</v>
      </c>
      <c r="N22" t="n">
        <v>0</v>
      </c>
      <c r="O22" t="n">
        <v>0</v>
      </c>
      <c r="P22" t="n">
        <v>0</v>
      </c>
      <c r="Q22" t="n">
        <v>17</v>
      </c>
      <c r="R22" t="n">
        <v>5</v>
      </c>
      <c r="S22" t="n">
        <v>22</v>
      </c>
      <c r="T22" t="n">
        <v>60</v>
      </c>
      <c r="U22" s="2" t="inlineStr">
        <is>
          <t>Doftticka
Fläckporing
Garnlav
Knärot
Liten aspgelélav
Doftskinn
Harticka
Kungsörn
Lunglav
Rosenticka
Skrovellav
Stiftgelélav
Talltita
Tretåig hackspett
Ullticka
Vedtrappmossa
Vitgrynig nållav
Korallblylav
Skinnlav
Stuplav
Spillkråka
Kungsfågel</t>
        </is>
      </c>
      <c r="V22">
        <f>HYPERLINK("https://klasma.github.io/Logging_FORSKNINGSRESAN_2023/artfynd/Gucken artfynd.xlsx", "Gucken")</f>
        <v/>
      </c>
      <c r="W22">
        <f>HYPERLINK("https://klasma.github.io/Logging_FORSKNINGSRESAN_2023/kartor/Gucken karta.png", "Gucken")</f>
        <v/>
      </c>
      <c r="X22">
        <f>HYPERLINK("https://klasma.github.io/Logging_FORSKNINGSRESAN_2023/kartor_geotiff/Gucken georefererad karta.tif", "Gucken")</f>
        <v/>
      </c>
      <c r="Y22">
        <f>HYPERLINK("https://klasma.github.io/Logging_FORSKNINGSRESAN_2023/knärot/Gucken karta knärot.png", "Gucken")</f>
        <v/>
      </c>
      <c r="Z22">
        <f>HYPERLINK("https://klasma.github.io/Logging_FORSKNINGSRESAN_2023/klagomål/Gucken FSC-klagomål.docx", "Gucken")</f>
        <v/>
      </c>
      <c r="AA22">
        <f>HYPERLINK("https://klasma.github.io/Logging_FORSKNINGSRESAN_2023/klagomålsmail/Gucken FSC-klagomål mail.docx", "Gucken")</f>
        <v/>
      </c>
      <c r="AB22">
        <f>HYPERLINK("https://klasma.github.io/Logging_FORSKNINGSRESAN_2023/tillsyn/Gucken tillsynsbegäran.docx", "Gucken")</f>
        <v/>
      </c>
      <c r="AC22">
        <f>HYPERLINK("https://klasma.github.io/Logging_FORSKNINGSRESAN_2023/tillsynsmail/Gucken tillsynsbegäran mail.docx", "Gucken")</f>
        <v/>
      </c>
      <c r="AD22">
        <f>HYPERLINK("https://klasma.github.io/Logging_FORSKNINGSRESAN_2023/fåglar/Gucken prioriterade fågelarter.docx", "Gucken")</f>
        <v/>
      </c>
      <c r="AE22" t="inlineStr">
        <is>
          <t>SCA</t>
        </is>
      </c>
      <c r="AF22" t="inlineStr">
        <is>
          <t>Nej</t>
        </is>
      </c>
      <c r="AH22" t="inlineStr">
        <is>
          <t>Ganska påverkat. Brant.</t>
        </is>
      </c>
      <c r="AI22" t="inlineStr">
        <is>
          <t>Hög påverkan</t>
        </is>
      </c>
      <c r="AJ22" t="inlineStr">
        <is>
          <t>Ja</t>
        </is>
      </c>
      <c r="AK22" t="n">
        <v>2</v>
      </c>
      <c r="AL22" t="n">
        <v/>
      </c>
    </row>
    <row r="23" ht="15" customHeight="1">
      <c r="A23" t="inlineStr">
        <is>
          <t>Börsåsen N</t>
        </is>
      </c>
      <c r="B23" t="inlineStr">
        <is>
          <t>avverkningsanmälan</t>
        </is>
      </c>
      <c r="D23" s="1" t="n">
        <v>46223</v>
      </c>
      <c r="E23" s="1" t="n">
        <v>46223</v>
      </c>
      <c r="F23" t="inlineStr">
        <is>
          <t>Jämtlands län</t>
        </is>
      </c>
      <c r="G23" t="inlineStr">
        <is>
          <t>Berg</t>
        </is>
      </c>
      <c r="I23" t="n">
        <v>124.6</v>
      </c>
      <c r="J23" t="n">
        <v>4</v>
      </c>
      <c r="K23" t="n">
        <v>8</v>
      </c>
      <c r="L23" t="n">
        <v>9</v>
      </c>
      <c r="M23" t="n">
        <v>3</v>
      </c>
      <c r="N23" t="n">
        <v>0</v>
      </c>
      <c r="O23" t="n">
        <v>0</v>
      </c>
      <c r="P23" t="n">
        <v>0</v>
      </c>
      <c r="Q23" t="n">
        <v>12</v>
      </c>
      <c r="R23" t="n">
        <v>3</v>
      </c>
      <c r="S23" t="n">
        <v>21</v>
      </c>
      <c r="T23" t="n">
        <v>63</v>
      </c>
      <c r="U23" s="2" t="inlineStr">
        <is>
          <t>Doftticka
Garnlav
Knärot
Blanksvart spiklav
Dropptaggsvamp
Lunglav
Mörk kolflarnlav
Rynkskinn
Skrovellav
Ullticka
Vedflamlav
Vedskivlav
Bårdlav
Korallblylav
Kransrams
Norrlandslav
Spindelblomster
Stor aspticka
Stuplav
Ögonpyrola
Fläcknycklar</t>
        </is>
      </c>
      <c r="V23">
        <f>HYPERLINK("https://klasma.github.io/Logging_FORSKNINGSRESAN_2023/artfynd/Börsåsen N artfynd.xlsx", "Börsåsen N")</f>
        <v/>
      </c>
      <c r="W23">
        <f>HYPERLINK("https://klasma.github.io/Logging_FORSKNINGSRESAN_2023/kartor/Börsåsen N karta.png", "Börsåsen N")</f>
        <v/>
      </c>
      <c r="X23">
        <f>HYPERLINK("https://klasma.github.io/Logging_FORSKNINGSRESAN_2023/kartor_geotiff/Börsåsen N georefererad karta.tif", "Börsåsen N")</f>
        <v/>
      </c>
      <c r="Y23">
        <f>HYPERLINK("https://klasma.github.io/Logging_FORSKNINGSRESAN_2023/knärot/Börsåsen N karta knärot.png", "Börsåsen N")</f>
        <v/>
      </c>
      <c r="Z23">
        <f>HYPERLINK("https://klasma.github.io/Logging_FORSKNINGSRESAN_2023/klagomål/Börsåsen N FSC-klagomål.docx", "Börsåsen N")</f>
        <v/>
      </c>
      <c r="AA23">
        <f>HYPERLINK("https://klasma.github.io/Logging_FORSKNINGSRESAN_2023/klagomålsmail/Börsåsen N FSC-klagomål mail.docx", "Börsåsen N")</f>
        <v/>
      </c>
      <c r="AB23">
        <f>HYPERLINK("https://klasma.github.io/Logging_FORSKNINGSRESAN_2023/tillsyn/Börsåsen N tillsynsbegäran.docx", "Börsåsen N")</f>
        <v/>
      </c>
      <c r="AC23">
        <f>HYPERLINK("https://klasma.github.io/Logging_FORSKNINGSRESAN_2023/tillsynsmail/Börsåsen N tillsynsbegäran mail.docx", "Börsåsen N")</f>
        <v/>
      </c>
      <c r="AE23" t="inlineStr">
        <is>
          <t>SCA</t>
        </is>
      </c>
      <c r="AF23" t="inlineStr">
        <is>
          <t>Avv i NV</t>
        </is>
      </c>
      <c r="AG23" t="n">
        <v/>
      </c>
      <c r="AH23" t="inlineStr">
        <is>
          <t>Svårbedömt. Ställvis gallrat, ställvis kontinuitetsbrutet? Kan vara fin stava också. Gränsar mot nya Hortesreservatet.</t>
        </is>
      </c>
      <c r="AI23" t="inlineStr">
        <is>
          <t>Måttlig?</t>
        </is>
      </c>
      <c r="AJ23" t="inlineStr">
        <is>
          <t>Ja</t>
        </is>
      </c>
      <c r="AK23" t="n">
        <v>1</v>
      </c>
      <c r="AL23" t="inlineStr">
        <is>
          <t>(sämre väg med högre vegetation)
Produktiv, lövrik granskog.
Stort aspinslag mkt död ved. Knärot, ögonpyrol, torta, Lunglav, korallblylav, vedtrappmossa</t>
        </is>
      </c>
    </row>
    <row r="24" ht="15" customHeight="1">
      <c r="A24" t="inlineStr">
        <is>
          <t>Kilkojan</t>
        </is>
      </c>
      <c r="B24" t="inlineStr">
        <is>
          <t>avverkningsanmälan</t>
        </is>
      </c>
      <c r="D24" s="1" t="n">
        <v>46223</v>
      </c>
      <c r="E24" s="1" t="n">
        <v>46223</v>
      </c>
      <c r="F24" t="inlineStr">
        <is>
          <t>Jämtlands län</t>
        </is>
      </c>
      <c r="G24" t="inlineStr">
        <is>
          <t>Berg</t>
        </is>
      </c>
      <c r="I24" t="n">
        <v>162.6</v>
      </c>
      <c r="J24" t="n">
        <v>2</v>
      </c>
      <c r="K24" t="n">
        <v>0</v>
      </c>
      <c r="L24" t="n">
        <v>15</v>
      </c>
      <c r="M24" t="n">
        <v>4</v>
      </c>
      <c r="N24" t="n">
        <v>0</v>
      </c>
      <c r="O24" t="n">
        <v>0</v>
      </c>
      <c r="P24" t="n">
        <v>0</v>
      </c>
      <c r="Q24" t="n">
        <v>19</v>
      </c>
      <c r="R24" t="n">
        <v>4</v>
      </c>
      <c r="S24" t="n">
        <v>19</v>
      </c>
      <c r="T24" t="n">
        <v>56</v>
      </c>
      <c r="U24"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24">
        <f>HYPERLINK("https://klasma.github.io/Logging_FORSKNINGSRESAN_2023/artfynd/Kilkojan artfynd.xlsx", "Kilkojan")</f>
        <v/>
      </c>
      <c r="W24">
        <f>HYPERLINK("https://klasma.github.io/Logging_FORSKNINGSRESAN_2023/kartor/Kilkojan karta.png", "Kilkojan")</f>
        <v/>
      </c>
      <c r="X24">
        <f>HYPERLINK("https://klasma.github.io/Logging_FORSKNINGSRESAN_2023/kartor_geotiff/Kilkojan georefererad karta.tif", "Kilkojan")</f>
        <v/>
      </c>
      <c r="Z24">
        <f>HYPERLINK("https://klasma.github.io/Logging_FORSKNINGSRESAN_2023/klagomål/Kilkojan FSC-klagomål.docx", "Kilkojan")</f>
        <v/>
      </c>
      <c r="AA24">
        <f>HYPERLINK("https://klasma.github.io/Logging_FORSKNINGSRESAN_2023/klagomålsmail/Kilkojan FSC-klagomål mail.docx", "Kilkojan")</f>
        <v/>
      </c>
      <c r="AB24">
        <f>HYPERLINK("https://klasma.github.io/Logging_FORSKNINGSRESAN_2023/tillsyn/Kilkojan tillsynsbegäran.docx", "Kilkojan")</f>
        <v/>
      </c>
      <c r="AC24">
        <f>HYPERLINK("https://klasma.github.io/Logging_FORSKNINGSRESAN_2023/tillsynsmail/Kilkojan tillsynsbegäran mail.docx", "Kilkojan")</f>
        <v/>
      </c>
      <c r="AD24">
        <f>HYPERLINK("https://klasma.github.io/Logging_FORSKNINGSRESAN_2023/fåglar/Kilkojan prioriterade fågelarter.docx", "Kilkojan")</f>
        <v/>
      </c>
      <c r="AE24" t="inlineStr">
        <is>
          <t>SCA</t>
        </is>
      </c>
      <c r="AF24" t="inlineStr">
        <is>
          <t>Nej</t>
        </is>
      </c>
      <c r="AG24" t="n">
        <v/>
      </c>
      <c r="AH24" t="inlineStr">
        <is>
          <t>Ser bra ut!!!</t>
        </is>
      </c>
      <c r="AI24" t="inlineStr">
        <is>
          <t>Låg påverkan</t>
        </is>
      </c>
      <c r="AJ24" t="inlineStr">
        <is>
          <t>Ja</t>
        </is>
      </c>
      <c r="AK24" t="n">
        <v>1</v>
      </c>
      <c r="AL24" t="inlineStr">
        <is>
          <t>Sista biten av vägen S dålig, parkera en bit ner
S: Ca 150-årig skog föryngrad efter brand. Få äldre tallar. Lövet utgånget? Allmänt med färsk ved, sparsamt med kelo. Rikt på garnlav.</t>
        </is>
      </c>
    </row>
    <row r="25" ht="15" customHeight="1">
      <c r="A25" t="inlineStr">
        <is>
          <t>Lövbergsgraven</t>
        </is>
      </c>
      <c r="B25" t="inlineStr">
        <is>
          <t>avverkningsanmälan</t>
        </is>
      </c>
      <c r="D25" s="1" t="n">
        <v>46223</v>
      </c>
      <c r="E25" s="1" t="n">
        <v>46223</v>
      </c>
      <c r="F25" t="inlineStr">
        <is>
          <t>Jämtlands län</t>
        </is>
      </c>
      <c r="G25" t="inlineStr">
        <is>
          <t>Berg</t>
        </is>
      </c>
      <c r="I25" t="n">
        <v>59.4</v>
      </c>
      <c r="J25" t="n">
        <v>5</v>
      </c>
      <c r="K25" t="n">
        <v>6</v>
      </c>
      <c r="L25" t="n">
        <v>7</v>
      </c>
      <c r="M25" t="n">
        <v>2</v>
      </c>
      <c r="N25" t="n">
        <v>0</v>
      </c>
      <c r="O25" t="n">
        <v>0</v>
      </c>
      <c r="P25" t="n">
        <v>0</v>
      </c>
      <c r="Q25" t="n">
        <v>9</v>
      </c>
      <c r="R25" t="n">
        <v>2</v>
      </c>
      <c r="S25" t="n">
        <v>17</v>
      </c>
      <c r="T25" t="n">
        <v>39</v>
      </c>
      <c r="U25" s="2" t="inlineStr">
        <is>
          <t>Garnlav
Knärot
Kolflarnlav
Lunglav
Skrovellav
Skuggblåslav
Vedskivlav
Vedtrappmossa
Vitgrynig nållav
Bårdlav
Korallblylav
Korallrot
Luddlav
Skinnlav
Spindelblomster
Fläcknycklar
Nattviol</t>
        </is>
      </c>
      <c r="V25">
        <f>HYPERLINK("https://klasma.github.io/Logging_FORSKNINGSRESAN_2023/artfynd/Lövbergsgraven artfynd.xlsx", "Lövbergsgraven")</f>
        <v/>
      </c>
      <c r="W25">
        <f>HYPERLINK("https://klasma.github.io/Logging_FORSKNINGSRESAN_2023/kartor/Lövbergsgraven karta.png", "Lövbergsgraven")</f>
        <v/>
      </c>
      <c r="X25">
        <f>HYPERLINK("https://klasma.github.io/Logging_FORSKNINGSRESAN_2023/kartor_geotiff/Lövbergsgraven georefererad karta.tif", "Lövbergsgraven")</f>
        <v/>
      </c>
      <c r="Y25">
        <f>HYPERLINK("https://klasma.github.io/Logging_FORSKNINGSRESAN_2023/knärot/Lövbergsgraven karta knärot.png", "Lövbergsgraven")</f>
        <v/>
      </c>
      <c r="Z25">
        <f>HYPERLINK("https://klasma.github.io/Logging_FORSKNINGSRESAN_2023/klagomål/Lövbergsgraven FSC-klagomål.docx", "Lövbergsgraven")</f>
        <v/>
      </c>
      <c r="AA25">
        <f>HYPERLINK("https://klasma.github.io/Logging_FORSKNINGSRESAN_2023/klagomålsmail/Lövbergsgraven FSC-klagomål mail.docx", "Lövbergsgraven")</f>
        <v/>
      </c>
      <c r="AB25">
        <f>HYPERLINK("https://klasma.github.io/Logging_FORSKNINGSRESAN_2023/tillsyn/Lövbergsgraven tillsynsbegäran.docx", "Lövbergsgraven")</f>
        <v/>
      </c>
      <c r="AC25">
        <f>HYPERLINK("https://klasma.github.io/Logging_FORSKNINGSRESAN_2023/tillsynsmail/Lövbergsgraven tillsynsbegäran mail.docx", "Lövbergsgraven")</f>
        <v/>
      </c>
      <c r="AE25" t="inlineStr">
        <is>
          <t>Stora Enso</t>
        </is>
      </c>
      <c r="AF25" t="inlineStr">
        <is>
          <t>Nej</t>
        </is>
      </c>
      <c r="AH25" t="inlineStr">
        <is>
          <t>Ser ok ut</t>
        </is>
      </c>
      <c r="AI25" t="inlineStr">
        <is>
          <t>Måttligt påverkat</t>
        </is>
      </c>
      <c r="AJ25" t="inlineStr">
        <is>
          <t>Ja</t>
        </is>
      </c>
      <c r="AK25" t="n">
        <v>2</v>
      </c>
      <c r="AL25" t="n">
        <v/>
      </c>
    </row>
    <row r="26" ht="15" customHeight="1">
      <c r="A26" t="inlineStr">
        <is>
          <t>Ömansholmen</t>
        </is>
      </c>
      <c r="B26" t="inlineStr">
        <is>
          <t>avverkningsanmälan</t>
        </is>
      </c>
      <c r="D26" s="1" t="n">
        <v>46223</v>
      </c>
      <c r="E26" s="1" t="n">
        <v>46223</v>
      </c>
      <c r="F26" t="inlineStr">
        <is>
          <t>Jämtlands län</t>
        </is>
      </c>
      <c r="G26" t="inlineStr">
        <is>
          <t>Berg</t>
        </is>
      </c>
      <c r="I26" t="n">
        <v>87.8</v>
      </c>
      <c r="J26" t="n">
        <v>4</v>
      </c>
      <c r="K26" t="n">
        <v>2</v>
      </c>
      <c r="L26" t="n">
        <v>12</v>
      </c>
      <c r="M26" t="n">
        <v>1</v>
      </c>
      <c r="N26" t="n">
        <v>0</v>
      </c>
      <c r="O26" t="n">
        <v>0</v>
      </c>
      <c r="P26" t="n">
        <v>0</v>
      </c>
      <c r="Q26" t="n">
        <v>13</v>
      </c>
      <c r="R26" t="n">
        <v>1</v>
      </c>
      <c r="S26" t="n">
        <v>17</v>
      </c>
      <c r="T26" t="n">
        <v>181</v>
      </c>
      <c r="U26" s="2" t="inlineStr">
        <is>
          <t>Knärot
Dropptaggsvamp
Dvärgbägarlav
Gammelgransskål
Kolflarnlav
Kortskaftad ärgspik
Mörk kolflarnlav
Reliktbock
Tallticka
Talltita
Ullticka
Vedskivlav
Vedtrappmossa
Norrlandslav
Vedticka
Spillkråka
Tjäder</t>
        </is>
      </c>
      <c r="V26">
        <f>HYPERLINK("https://klasma.github.io/Logging_FORSKNINGSRESAN_2023/artfynd/Ömansholmen artfynd.xlsx", "Ömansholmen")</f>
        <v/>
      </c>
      <c r="W26">
        <f>HYPERLINK("https://klasma.github.io/Logging_FORSKNINGSRESAN_2023/kartor/Ömansholmen karta.png", "Ömansholmen")</f>
        <v/>
      </c>
      <c r="X26">
        <f>HYPERLINK("https://klasma.github.io/Logging_FORSKNINGSRESAN_2023/kartor_geotiff/Ömansholmen georefererad karta.tif", "Ömansholmen")</f>
        <v/>
      </c>
      <c r="Y26">
        <f>HYPERLINK("https://klasma.github.io/Logging_FORSKNINGSRESAN_2023/knärot/Ömansholmen karta knärot.png", "Ömansholmen")</f>
        <v/>
      </c>
      <c r="Z26">
        <f>HYPERLINK("https://klasma.github.io/Logging_FORSKNINGSRESAN_2023/klagomål/Ömansholmen FSC-klagomål.docx", "Ömansholmen")</f>
        <v/>
      </c>
      <c r="AA26">
        <f>HYPERLINK("https://klasma.github.io/Logging_FORSKNINGSRESAN_2023/klagomålsmail/Ömansholmen FSC-klagomål mail.docx", "Ömansholmen")</f>
        <v/>
      </c>
      <c r="AB26">
        <f>HYPERLINK("https://klasma.github.io/Logging_FORSKNINGSRESAN_2023/tillsyn/Ömansholmen tillsynsbegäran.docx", "Ömansholmen")</f>
        <v/>
      </c>
      <c r="AC26">
        <f>HYPERLINK("https://klasma.github.io/Logging_FORSKNINGSRESAN_2023/tillsynsmail/Ömansholmen tillsynsbegäran mail.docx", "Ömansholmen")</f>
        <v/>
      </c>
      <c r="AD26">
        <f>HYPERLINK("https://klasma.github.io/Logging_FORSKNINGSRESAN_2023/fåglar/Ömansholmen prioriterade fågelarter.docx", "Ömansholmen")</f>
        <v/>
      </c>
      <c r="AE26" t="inlineStr">
        <is>
          <t>SCA</t>
        </is>
      </c>
      <c r="AF26" t="inlineStr">
        <is>
          <t>Nej</t>
        </is>
      </c>
      <c r="AH26" t="inlineStr">
        <is>
          <t>Ser ut som dödismorän. Påverkat men ser hett ut!</t>
        </is>
      </c>
      <c r="AI26" t="inlineStr">
        <is>
          <t>Måttlig påverkan</t>
        </is>
      </c>
      <c r="AJ26" t="inlineStr">
        <is>
          <t>Ja</t>
        </is>
      </c>
      <c r="AK26" t="n">
        <v>2</v>
      </c>
      <c r="AL26" t="n">
        <v/>
      </c>
    </row>
    <row r="27" ht="15" customHeight="1">
      <c r="A27" t="inlineStr">
        <is>
          <t>Kölavallhöjden</t>
        </is>
      </c>
      <c r="B27" t="inlineStr">
        <is>
          <t>avverkningsanmälan</t>
        </is>
      </c>
      <c r="D27" s="1" t="n">
        <v>46223</v>
      </c>
      <c r="E27" s="1" t="n">
        <v>46223</v>
      </c>
      <c r="F27" t="inlineStr">
        <is>
          <t>Jämtlands län</t>
        </is>
      </c>
      <c r="G27" t="inlineStr">
        <is>
          <t>Berg</t>
        </is>
      </c>
      <c r="I27" t="n">
        <v>57.8</v>
      </c>
      <c r="J27" t="n">
        <v>3</v>
      </c>
      <c r="K27" t="n">
        <v>5</v>
      </c>
      <c r="L27" t="n">
        <v>8</v>
      </c>
      <c r="M27" t="n">
        <v>2</v>
      </c>
      <c r="N27" t="n">
        <v>0</v>
      </c>
      <c r="O27" t="n">
        <v>0</v>
      </c>
      <c r="P27" t="n">
        <v>0</v>
      </c>
      <c r="Q27" t="n">
        <v>10</v>
      </c>
      <c r="R27" t="n">
        <v>2</v>
      </c>
      <c r="S27" t="n">
        <v>16</v>
      </c>
      <c r="T27" t="n">
        <v>36</v>
      </c>
      <c r="U27" s="2" t="inlineStr">
        <is>
          <t>Doftticka
Knärot
Doftskinn
Lunglav
Rosenticka
Rynkskinn
Stiftgelélav
Stjärntagging
Ullticka
Vitgrynig nållav
Bårdlav
Korallblylav
Stor aspticka
Stuplav
Vågbandad barkbock
Tjäder</t>
        </is>
      </c>
      <c r="V27">
        <f>HYPERLINK("https://klasma.github.io/Logging_FORSKNINGSRESAN_2023/artfynd/Kölavallhöjden artfynd.xlsx", "Kölavallhöjden")</f>
        <v/>
      </c>
      <c r="W27">
        <f>HYPERLINK("https://klasma.github.io/Logging_FORSKNINGSRESAN_2023/kartor/Kölavallhöjden karta.png", "Kölavallhöjden")</f>
        <v/>
      </c>
      <c r="X27">
        <f>HYPERLINK("https://klasma.github.io/Logging_FORSKNINGSRESAN_2023/kartor_geotiff/Kölavallhöjden georefererad karta.tif", "Kölavallhöjden")</f>
        <v/>
      </c>
      <c r="Y27">
        <f>HYPERLINK("https://klasma.github.io/Logging_FORSKNINGSRESAN_2023/knärot/Kölavallhöjden karta knärot.png", "Kölavallhöjden")</f>
        <v/>
      </c>
      <c r="Z27">
        <f>HYPERLINK("https://klasma.github.io/Logging_FORSKNINGSRESAN_2023/klagomål/Kölavallhöjden FSC-klagomål.docx", "Kölavallhöjden")</f>
        <v/>
      </c>
      <c r="AA27">
        <f>HYPERLINK("https://klasma.github.io/Logging_FORSKNINGSRESAN_2023/klagomålsmail/Kölavallhöjden FSC-klagomål mail.docx", "Kölavallhöjden")</f>
        <v/>
      </c>
      <c r="AB27">
        <f>HYPERLINK("https://klasma.github.io/Logging_FORSKNINGSRESAN_2023/tillsyn/Kölavallhöjden tillsynsbegäran.docx", "Kölavallhöjden")</f>
        <v/>
      </c>
      <c r="AC27">
        <f>HYPERLINK("https://klasma.github.io/Logging_FORSKNINGSRESAN_2023/tillsynsmail/Kölavallhöjden tillsynsbegäran mail.docx", "Kölavallhöjden")</f>
        <v/>
      </c>
      <c r="AD27">
        <f>HYPERLINK("https://klasma.github.io/Logging_FORSKNINGSRESAN_2023/fåglar/Kölavallhöjden prioriterade fågelarter.docx", "Kölavallhöjden")</f>
        <v/>
      </c>
      <c r="AE27" t="inlineStr">
        <is>
          <t>SCA</t>
        </is>
      </c>
      <c r="AF27" t="inlineStr">
        <is>
          <t>Nej</t>
        </is>
      </c>
      <c r="AG27" t="inlineStr">
        <is>
          <t>Ja</t>
        </is>
      </c>
      <c r="AH27" t="inlineStr">
        <is>
          <t>Ser mycket bra ut</t>
        </is>
      </c>
      <c r="AI27" t="inlineStr">
        <is>
          <t>Låg påverkan</t>
        </is>
      </c>
      <c r="AJ27" t="inlineStr">
        <is>
          <t>Ja</t>
        </is>
      </c>
      <c r="AK27" t="n">
        <v>1</v>
      </c>
      <c r="AL27" t="inlineStr">
        <is>
          <t>Lst: avsättning hos SCA</t>
        </is>
      </c>
    </row>
    <row r="28" ht="15" customHeight="1">
      <c r="A28" t="inlineStr">
        <is>
          <t>Trollkärringberget</t>
        </is>
      </c>
      <c r="B28" t="inlineStr">
        <is>
          <t>avverkningsanmälan</t>
        </is>
      </c>
      <c r="D28" s="1" t="n">
        <v>46223</v>
      </c>
      <c r="E28" s="1" t="n">
        <v>46223</v>
      </c>
      <c r="F28" t="inlineStr">
        <is>
          <t>Jämtlands län</t>
        </is>
      </c>
      <c r="G28" t="inlineStr">
        <is>
          <t>Berg</t>
        </is>
      </c>
      <c r="I28" t="n">
        <v>18.8</v>
      </c>
      <c r="J28" t="n">
        <v>3</v>
      </c>
      <c r="K28" t="n">
        <v>6</v>
      </c>
      <c r="L28" t="n">
        <v>6</v>
      </c>
      <c r="M28" t="n">
        <v>3</v>
      </c>
      <c r="N28" t="n">
        <v>0</v>
      </c>
      <c r="O28" t="n">
        <v>0</v>
      </c>
      <c r="P28" t="n">
        <v>0</v>
      </c>
      <c r="Q28" t="n">
        <v>9</v>
      </c>
      <c r="R28" t="n">
        <v>3</v>
      </c>
      <c r="S28" t="n">
        <v>16</v>
      </c>
      <c r="T28" t="n">
        <v>39</v>
      </c>
      <c r="U28" s="2" t="inlineStr">
        <is>
          <t>Garnlav
Knärot
Vitskaftad svartspik
Doftskinn
Lunglav
Rosenticka
Rynkskinn
Ullticka
Violettgrå tagellav
Bronshjon
Luddlav
Spindelblomster
Stor aspticka
Vedticka
Vågbandad barkbock
Nattviol</t>
        </is>
      </c>
      <c r="V28">
        <f>HYPERLINK("https://klasma.github.io/Logging_FORSKNINGSRESAN_2023/artfynd/Trollkärringberget artfynd.xlsx", "Trollkärringberget")</f>
        <v/>
      </c>
      <c r="W28">
        <f>HYPERLINK("https://klasma.github.io/Logging_FORSKNINGSRESAN_2023/kartor/Trollkärringberget karta.png", "Trollkärringberget")</f>
        <v/>
      </c>
      <c r="X28">
        <f>HYPERLINK("https://klasma.github.io/Logging_FORSKNINGSRESAN_2023/kartor_geotiff/Trollkärringberget georefererad karta.tif", "Trollkärringberget")</f>
        <v/>
      </c>
      <c r="Y28">
        <f>HYPERLINK("https://klasma.github.io/Logging_FORSKNINGSRESAN_2023/knärot/Trollkärringberget karta knärot.png", "Trollkärringberget")</f>
        <v/>
      </c>
      <c r="Z28">
        <f>HYPERLINK("https://klasma.github.io/Logging_FORSKNINGSRESAN_2023/klagomål/Trollkärringberget FSC-klagomål.docx", "Trollkärringberget")</f>
        <v/>
      </c>
      <c r="AA28">
        <f>HYPERLINK("https://klasma.github.io/Logging_FORSKNINGSRESAN_2023/klagomålsmail/Trollkärringberget FSC-klagomål mail.docx", "Trollkärringberget")</f>
        <v/>
      </c>
      <c r="AB28">
        <f>HYPERLINK("https://klasma.github.io/Logging_FORSKNINGSRESAN_2023/tillsyn/Trollkärringberget tillsynsbegäran.docx", "Trollkärringberget")</f>
        <v/>
      </c>
      <c r="AC28">
        <f>HYPERLINK("https://klasma.github.io/Logging_FORSKNINGSRESAN_2023/tillsynsmail/Trollkärringberget tillsynsbegäran mail.docx", "Trollkärringberget")</f>
        <v/>
      </c>
      <c r="AE28" t="inlineStr">
        <is>
          <t>SCA + privat i SV</t>
        </is>
      </c>
      <c r="AF28" t="inlineStr">
        <is>
          <t>Ja, i N</t>
        </is>
      </c>
      <c r="AG28" t="n">
        <v/>
      </c>
      <c r="AH28" t="inlineStr">
        <is>
          <t>Ser bra ut, lövrik granskog?</t>
        </is>
      </c>
      <c r="AI28" t="inlineStr">
        <is>
          <t>Låg</t>
        </is>
      </c>
      <c r="AJ28" t="inlineStr">
        <is>
          <t>Ja</t>
        </is>
      </c>
      <c r="AK28" t="n">
        <v>1</v>
      </c>
      <c r="AL28" t="inlineStr">
        <is>
          <t>a: Blndsumpskog, hänglavrik. Senvuxna granar och spridd död ved. Tretåig hackspett. Gammelskog. b: lövrik granskog ca 80-100år. Orörd, kolvedshuggning. Örtrik. Spridda gammalgranar</t>
        </is>
      </c>
    </row>
    <row r="29" ht="15" customHeight="1">
      <c r="A29" t="inlineStr">
        <is>
          <t>Norrbodstugan</t>
        </is>
      </c>
      <c r="B29" t="inlineStr">
        <is>
          <t>avverkningsanmälan</t>
        </is>
      </c>
      <c r="D29" s="1" t="n">
        <v>46223</v>
      </c>
      <c r="E29" s="1" t="n">
        <v>46223</v>
      </c>
      <c r="F29" t="inlineStr">
        <is>
          <t>Jämtlands län</t>
        </is>
      </c>
      <c r="G29" t="inlineStr">
        <is>
          <t>Berg</t>
        </is>
      </c>
      <c r="I29" t="n">
        <v>104.8</v>
      </c>
      <c r="J29" t="n">
        <v>6</v>
      </c>
      <c r="K29" t="n">
        <v>5</v>
      </c>
      <c r="L29" t="n">
        <v>7</v>
      </c>
      <c r="M29" t="n">
        <v>2</v>
      </c>
      <c r="N29" t="n">
        <v>0</v>
      </c>
      <c r="O29" t="n">
        <v>0</v>
      </c>
      <c r="P29" t="n">
        <v>0</v>
      </c>
      <c r="Q29" t="n">
        <v>9</v>
      </c>
      <c r="R29" t="n">
        <v>2</v>
      </c>
      <c r="S29" t="n">
        <v>15</v>
      </c>
      <c r="T29" t="n">
        <v>49</v>
      </c>
      <c r="U29" s="2" t="inlineStr">
        <is>
          <t>Garnlav
Knärot
Harticka
Lavskrika
Lunglav
Skrovellav
Talltita
Tretåig hackspett
Ullticka
Luddlav
Spindelblomster
Stuplav
Trådticka
Vedticka
Spillkråka</t>
        </is>
      </c>
      <c r="V29">
        <f>HYPERLINK("https://klasma.github.io/Logging_FORSKNINGSRESAN_2023/artfynd/Norrbodstugan artfynd.xlsx", "Norrbodstugan")</f>
        <v/>
      </c>
      <c r="W29">
        <f>HYPERLINK("https://klasma.github.io/Logging_FORSKNINGSRESAN_2023/kartor/Norrbodstugan karta.png", "Norrbodstugan")</f>
        <v/>
      </c>
      <c r="X29">
        <f>HYPERLINK("https://klasma.github.io/Logging_FORSKNINGSRESAN_2023/kartor_geotiff/Norrbodstugan georefererad karta.tif", "Norrbodstugan")</f>
        <v/>
      </c>
      <c r="Y29">
        <f>HYPERLINK("https://klasma.github.io/Logging_FORSKNINGSRESAN_2023/knärot/Norrbodstugan karta knärot.png", "Norrbodstugan")</f>
        <v/>
      </c>
      <c r="Z29">
        <f>HYPERLINK("https://klasma.github.io/Logging_FORSKNINGSRESAN_2023/klagomål/Norrbodstugan FSC-klagomål.docx", "Norrbodstugan")</f>
        <v/>
      </c>
      <c r="AA29">
        <f>HYPERLINK("https://klasma.github.io/Logging_FORSKNINGSRESAN_2023/klagomålsmail/Norrbodstugan FSC-klagomål mail.docx", "Norrbodstugan")</f>
        <v/>
      </c>
      <c r="AB29">
        <f>HYPERLINK("https://klasma.github.io/Logging_FORSKNINGSRESAN_2023/tillsyn/Norrbodstugan tillsynsbegäran.docx", "Norrbodstugan")</f>
        <v/>
      </c>
      <c r="AC29">
        <f>HYPERLINK("https://klasma.github.io/Logging_FORSKNINGSRESAN_2023/tillsynsmail/Norrbodstugan tillsynsbegäran mail.docx", "Norrbodstugan")</f>
        <v/>
      </c>
      <c r="AD29">
        <f>HYPERLINK("https://klasma.github.io/Logging_FORSKNINGSRESAN_2023/fåglar/Norrbodstugan prioriterade fågelarter.docx", "Norrbodstugan")</f>
        <v/>
      </c>
      <c r="AE29" t="inlineStr">
        <is>
          <t>Sveaskog</t>
        </is>
      </c>
      <c r="AF29" t="inlineStr">
        <is>
          <t>Flera mindre avv</t>
        </is>
      </c>
      <c r="AH29" t="inlineStr">
        <is>
          <t>Ser helt ok ut</t>
        </is>
      </c>
      <c r="AI29" t="inlineStr">
        <is>
          <t>Måttlig till hög</t>
        </is>
      </c>
      <c r="AJ29" t="inlineStr">
        <is>
          <t>Ja</t>
        </is>
      </c>
      <c r="AK29" t="n">
        <v>2</v>
      </c>
      <c r="AL29" t="n">
        <v/>
      </c>
    </row>
    <row r="30" ht="15" customHeight="1">
      <c r="A30" t="inlineStr">
        <is>
          <t>Hedberget</t>
        </is>
      </c>
      <c r="B30" t="inlineStr">
        <is>
          <t>avverkningsanmälan</t>
        </is>
      </c>
      <c r="D30" s="1" t="n">
        <v>46223</v>
      </c>
      <c r="E30" s="1" t="n">
        <v>46223</v>
      </c>
      <c r="F30" t="inlineStr">
        <is>
          <t>Jämtlands län</t>
        </is>
      </c>
      <c r="G30" t="inlineStr">
        <is>
          <t>Berg</t>
        </is>
      </c>
      <c r="I30" t="n">
        <v>58.7</v>
      </c>
      <c r="J30" t="n">
        <v>5</v>
      </c>
      <c r="K30" t="n">
        <v>6</v>
      </c>
      <c r="L30" t="n">
        <v>4</v>
      </c>
      <c r="M30" t="n">
        <v>1</v>
      </c>
      <c r="N30" t="n">
        <v>0</v>
      </c>
      <c r="O30" t="n">
        <v>0</v>
      </c>
      <c r="P30" t="n">
        <v>0</v>
      </c>
      <c r="Q30" t="n">
        <v>5</v>
      </c>
      <c r="R30" t="n">
        <v>1</v>
      </c>
      <c r="S30" t="n">
        <v>14</v>
      </c>
      <c r="T30" t="n">
        <v>47</v>
      </c>
      <c r="U30" s="2" t="inlineStr">
        <is>
          <t>Doftticka
Fjällig taggsvamp s.str.
Järnsparv
Lunglav
Skrovellav
Bårdlav
Korallblylav
Skinnlav
Stor aspticka
Stuplav
Svavelriska
Järpe
Spillkråka
Tjäder</t>
        </is>
      </c>
      <c r="V30">
        <f>HYPERLINK("https://klasma.github.io/Logging_FORSKNINGSRESAN_2023/artfynd/Hedberget artfynd.xlsx", "Hedberget")</f>
        <v/>
      </c>
      <c r="W30">
        <f>HYPERLINK("https://klasma.github.io/Logging_FORSKNINGSRESAN_2023/kartor/Hedberget karta.png", "Hedberget")</f>
        <v/>
      </c>
      <c r="X30">
        <f>HYPERLINK("https://klasma.github.io/Logging_FORSKNINGSRESAN_2023/kartor_geotiff/Hedberget georefererad karta.tif", "Hedberget")</f>
        <v/>
      </c>
      <c r="Z30">
        <f>HYPERLINK("https://klasma.github.io/Logging_FORSKNINGSRESAN_2023/klagomål/Hedberget FSC-klagomål.docx", "Hedberget")</f>
        <v/>
      </c>
      <c r="AA30">
        <f>HYPERLINK("https://klasma.github.io/Logging_FORSKNINGSRESAN_2023/klagomålsmail/Hedberget FSC-klagomål mail.docx", "Hedberget")</f>
        <v/>
      </c>
      <c r="AB30">
        <f>HYPERLINK("https://klasma.github.io/Logging_FORSKNINGSRESAN_2023/tillsyn/Hedberget tillsynsbegäran.docx", "Hedberget")</f>
        <v/>
      </c>
      <c r="AC30">
        <f>HYPERLINK("https://klasma.github.io/Logging_FORSKNINGSRESAN_2023/tillsynsmail/Hedberget tillsynsbegäran mail.docx", "Hedberget")</f>
        <v/>
      </c>
      <c r="AD30">
        <f>HYPERLINK("https://klasma.github.io/Logging_FORSKNINGSRESAN_2023/fåglar/Hedberget prioriterade fågelarter.docx", "Hedberget")</f>
        <v/>
      </c>
      <c r="AE30" t="inlineStr">
        <is>
          <t>SCA</t>
        </is>
      </c>
      <c r="AF30" t="inlineStr">
        <is>
          <t>Nej</t>
        </is>
      </c>
      <c r="AH30" t="inlineStr">
        <is>
          <t>Kan vara ok</t>
        </is>
      </c>
      <c r="AI30" t="inlineStr">
        <is>
          <t>Måttlig påverkan</t>
        </is>
      </c>
      <c r="AJ30" t="inlineStr">
        <is>
          <t>Ja</t>
        </is>
      </c>
      <c r="AK30" t="n">
        <v>2</v>
      </c>
      <c r="AL30" t="n">
        <v/>
      </c>
    </row>
    <row r="31" ht="15" customHeight="1">
      <c r="A31" t="inlineStr">
        <is>
          <t>Rödhusberget - SCA</t>
        </is>
      </c>
      <c r="B31" t="inlineStr">
        <is>
          <t>avverkningsanmälan</t>
        </is>
      </c>
      <c r="D31" s="1" t="n">
        <v>46223</v>
      </c>
      <c r="E31" s="1" t="n">
        <v>46223</v>
      </c>
      <c r="F31" t="inlineStr">
        <is>
          <t>Jämtlands län</t>
        </is>
      </c>
      <c r="G31" t="inlineStr">
        <is>
          <t>Berg</t>
        </is>
      </c>
      <c r="I31" t="n">
        <v>122.2</v>
      </c>
      <c r="J31" t="n">
        <v>0</v>
      </c>
      <c r="K31" t="n">
        <v>0</v>
      </c>
      <c r="L31" t="n">
        <v>9</v>
      </c>
      <c r="M31" t="n">
        <v>3</v>
      </c>
      <c r="N31" t="n">
        <v>0</v>
      </c>
      <c r="O31" t="n">
        <v>0</v>
      </c>
      <c r="P31" t="n">
        <v>0</v>
      </c>
      <c r="Q31" t="n">
        <v>12</v>
      </c>
      <c r="R31" t="n">
        <v>3</v>
      </c>
      <c r="S31" t="n">
        <v>12</v>
      </c>
      <c r="T31" t="n">
        <v>29</v>
      </c>
      <c r="U31" s="2" t="inlineStr">
        <is>
          <t>Fläckporing
Gräddporing
Lateritticka
Blanksvart spiklav
Dvärgbägarlav
Knottrig blåslav
Kolflarnlav
Kortskaftad ärgspik
Lunglav
Reliktbock
Vedflamlav
Vedtrappmossa</t>
        </is>
      </c>
      <c r="V31">
        <f>HYPERLINK("https://klasma.github.io/Logging_FORSKNINGSRESAN_2023/artfynd/Rödhusberget - SCA artfynd.xlsx", "Rödhusberget - SCA")</f>
        <v/>
      </c>
      <c r="W31">
        <f>HYPERLINK("https://klasma.github.io/Logging_FORSKNINGSRESAN_2023/kartor/Rödhusberget - SCA karta.png", "Rödhusberget - SCA")</f>
        <v/>
      </c>
      <c r="X31">
        <f>HYPERLINK("https://klasma.github.io/Logging_FORSKNINGSRESAN_2023/kartor_geotiff/Rödhusberget - SCA georefererad karta.tif", "Rödhusberget - SCA")</f>
        <v/>
      </c>
      <c r="Z31">
        <f>HYPERLINK("https://klasma.github.io/Logging_FORSKNINGSRESAN_2023/klagomål/Rödhusberget - SCA FSC-klagomål.docx", "Rödhusberget - SCA")</f>
        <v/>
      </c>
      <c r="AA31">
        <f>HYPERLINK("https://klasma.github.io/Logging_FORSKNINGSRESAN_2023/klagomålsmail/Rödhusberget - SCA FSC-klagomål mail.docx", "Rödhusberget - SCA")</f>
        <v/>
      </c>
      <c r="AB31">
        <f>HYPERLINK("https://klasma.github.io/Logging_FORSKNINGSRESAN_2023/tillsyn/Rödhusberget - SCA tillsynsbegäran.docx", "Rödhusberget - SCA")</f>
        <v/>
      </c>
      <c r="AC31">
        <f>HYPERLINK("https://klasma.github.io/Logging_FORSKNINGSRESAN_2023/tillsynsmail/Rödhusberget - SCA tillsynsbegäran mail.docx", "Rödhusberget - SCA")</f>
        <v/>
      </c>
      <c r="AE31" t="inlineStr">
        <is>
          <t>SCA</t>
        </is>
      </c>
      <c r="AF31" t="inlineStr">
        <is>
          <t>Nej</t>
        </is>
      </c>
      <c r="AH31" t="inlineStr">
        <is>
          <t>Ser ok ut! Inslag av NB</t>
        </is>
      </c>
      <c r="AI31" t="inlineStr">
        <is>
          <t>Måttlig påverkan</t>
        </is>
      </c>
      <c r="AJ31" t="inlineStr">
        <is>
          <t>Ja</t>
        </is>
      </c>
      <c r="AK31" t="n">
        <v>2</v>
      </c>
      <c r="AL31" t="inlineStr">
        <is>
          <t>Bör rekas i norr. Utställt, få överståndare, dåligt med ved i S.</t>
        </is>
      </c>
    </row>
    <row r="32" ht="15" customHeight="1">
      <c r="A32" t="inlineStr">
        <is>
          <t>Nils-Andersknulen N</t>
        </is>
      </c>
      <c r="B32" t="inlineStr">
        <is>
          <t>avverkningsanmälan</t>
        </is>
      </c>
      <c r="D32" s="1" t="n">
        <v>46223</v>
      </c>
      <c r="E32" s="1" t="n">
        <v>46223</v>
      </c>
      <c r="F32" t="inlineStr">
        <is>
          <t>Jämtlands län</t>
        </is>
      </c>
      <c r="G32" t="inlineStr">
        <is>
          <t>Berg</t>
        </is>
      </c>
      <c r="I32" t="n">
        <v>45.3</v>
      </c>
      <c r="J32" t="n">
        <v>1</v>
      </c>
      <c r="K32" t="n">
        <v>3</v>
      </c>
      <c r="L32" t="n">
        <v>6</v>
      </c>
      <c r="M32" t="n">
        <v>2</v>
      </c>
      <c r="N32" t="n">
        <v>0</v>
      </c>
      <c r="O32" t="n">
        <v>0</v>
      </c>
      <c r="P32" t="n">
        <v>0</v>
      </c>
      <c r="Q32" t="n">
        <v>8</v>
      </c>
      <c r="R32" t="n">
        <v>2</v>
      </c>
      <c r="S32" t="n">
        <v>11</v>
      </c>
      <c r="T32" t="n">
        <v>12</v>
      </c>
      <c r="U32" s="2" t="inlineStr">
        <is>
          <t>Blackticka
Gränsticka
Gammelgransskål
Harticka
Lavskrika
Lunglav
Skrovellav
Ullticka
Kambräken
Svavelriska
Vedticka</t>
        </is>
      </c>
      <c r="V32">
        <f>HYPERLINK("https://klasma.github.io/Logging_FORSKNINGSRESAN_2023/artfynd/Nils-Andersknulen N artfynd.xlsx", "Nils-Andersknulen N")</f>
        <v/>
      </c>
      <c r="W32">
        <f>HYPERLINK("https://klasma.github.io/Logging_FORSKNINGSRESAN_2023/kartor/Nils-Andersknulen N karta.png", "Nils-Andersknulen N")</f>
        <v/>
      </c>
      <c r="X32">
        <f>HYPERLINK("https://klasma.github.io/Logging_FORSKNINGSRESAN_2023/kartor_geotiff/Nils-Andersknulen N georefererad karta.tif", "Nils-Andersknulen N")</f>
        <v/>
      </c>
      <c r="Z32">
        <f>HYPERLINK("https://klasma.github.io/Logging_FORSKNINGSRESAN_2023/klagomål/Nils-Andersknulen N FSC-klagomål.docx", "Nils-Andersknulen N")</f>
        <v/>
      </c>
      <c r="AA32">
        <f>HYPERLINK("https://klasma.github.io/Logging_FORSKNINGSRESAN_2023/klagomålsmail/Nils-Andersknulen N FSC-klagomål mail.docx", "Nils-Andersknulen N")</f>
        <v/>
      </c>
      <c r="AB32">
        <f>HYPERLINK("https://klasma.github.io/Logging_FORSKNINGSRESAN_2023/tillsyn/Nils-Andersknulen N tillsynsbegäran.docx", "Nils-Andersknulen N")</f>
        <v/>
      </c>
      <c r="AC32">
        <f>HYPERLINK("https://klasma.github.io/Logging_FORSKNINGSRESAN_2023/tillsynsmail/Nils-Andersknulen N tillsynsbegäran mail.docx", "Nils-Andersknulen N")</f>
        <v/>
      </c>
      <c r="AD32">
        <f>HYPERLINK("https://klasma.github.io/Logging_FORSKNINGSRESAN_2023/fåglar/Nils-Andersknulen N prioriterade fågelarter.docx", "Nils-Andersknulen N")</f>
        <v/>
      </c>
      <c r="AE32" t="inlineStr">
        <is>
          <t>SCA</t>
        </is>
      </c>
      <c r="AF32" t="inlineStr">
        <is>
          <t>Flera avv</t>
        </is>
      </c>
      <c r="AG32" t="n">
        <v/>
      </c>
      <c r="AH32" t="inlineStr">
        <is>
          <t>Ser bra ut. Synd på vindkraftverken.</t>
        </is>
      </c>
      <c r="AI32" t="inlineStr">
        <is>
          <t>Låg påverkan</t>
        </is>
      </c>
      <c r="AJ32" t="inlineStr">
        <is>
          <t>Ja</t>
        </is>
      </c>
      <c r="AK32" t="n">
        <v>1</v>
      </c>
      <c r="AL32" t="n">
        <v/>
      </c>
    </row>
    <row r="33" ht="15" customHeight="1">
      <c r="A33" t="inlineStr">
        <is>
          <t>Långsidberget V</t>
        </is>
      </c>
      <c r="B33" t="inlineStr">
        <is>
          <t>avverkningsanmälan</t>
        </is>
      </c>
      <c r="D33" s="1" t="n">
        <v>46223</v>
      </c>
      <c r="E33" s="1" t="n">
        <v>46223</v>
      </c>
      <c r="F33" t="inlineStr">
        <is>
          <t>Jämtlands län</t>
        </is>
      </c>
      <c r="G33" t="inlineStr">
        <is>
          <t>Berg</t>
        </is>
      </c>
      <c r="I33" t="n">
        <v>22.9</v>
      </c>
      <c r="J33" t="n">
        <v>2</v>
      </c>
      <c r="K33" t="n">
        <v>0</v>
      </c>
      <c r="L33" t="n">
        <v>6</v>
      </c>
      <c r="M33" t="n">
        <v>4</v>
      </c>
      <c r="N33" t="n">
        <v>0</v>
      </c>
      <c r="O33" t="n">
        <v>0</v>
      </c>
      <c r="P33" t="n">
        <v>0</v>
      </c>
      <c r="Q33" t="n">
        <v>10</v>
      </c>
      <c r="R33" t="n">
        <v>4</v>
      </c>
      <c r="S33" t="n">
        <v>10</v>
      </c>
      <c r="T33" t="n">
        <v>10</v>
      </c>
      <c r="U33" s="2" t="inlineStr">
        <is>
          <t>Fläckporing
Gräddporing
Knärot
Smalfotad taggsvamp
Dropptaggsvamp
Dvärgbägarlav
Kungsörn
Motaggsvamp
Nordtagging
Vaddporing</t>
        </is>
      </c>
      <c r="V33">
        <f>HYPERLINK("https://klasma.github.io/Logging_FORSKNINGSRESAN_2023/artfynd/Långsidberget V artfynd.xlsx", "Långsidberget V")</f>
        <v/>
      </c>
      <c r="W33">
        <f>HYPERLINK("https://klasma.github.io/Logging_FORSKNINGSRESAN_2023/kartor/Långsidberget V karta.png", "Långsidberget V")</f>
        <v/>
      </c>
      <c r="X33">
        <f>HYPERLINK("https://klasma.github.io/Logging_FORSKNINGSRESAN_2023/kartor_geotiff/Långsidberget V georefererad karta.tif", "Långsidberget V")</f>
        <v/>
      </c>
      <c r="Y33">
        <f>HYPERLINK("https://klasma.github.io/Logging_FORSKNINGSRESAN_2023/knärot/Långsidberget V karta knärot.png", "Långsidberget V")</f>
        <v/>
      </c>
      <c r="Z33">
        <f>HYPERLINK("https://klasma.github.io/Logging_FORSKNINGSRESAN_2023/klagomål/Långsidberget V FSC-klagomål.docx", "Långsidberget V")</f>
        <v/>
      </c>
      <c r="AA33">
        <f>HYPERLINK("https://klasma.github.io/Logging_FORSKNINGSRESAN_2023/klagomålsmail/Långsidberget V FSC-klagomål mail.docx", "Långsidberget V")</f>
        <v/>
      </c>
      <c r="AB33">
        <f>HYPERLINK("https://klasma.github.io/Logging_FORSKNINGSRESAN_2023/tillsyn/Långsidberget V tillsynsbegäran.docx", "Långsidberget V")</f>
        <v/>
      </c>
      <c r="AC33">
        <f>HYPERLINK("https://klasma.github.io/Logging_FORSKNINGSRESAN_2023/tillsynsmail/Långsidberget V tillsynsbegäran mail.docx", "Långsidberget V")</f>
        <v/>
      </c>
      <c r="AD33">
        <f>HYPERLINK("https://klasma.github.io/Logging_FORSKNINGSRESAN_2023/fåglar/Långsidberget V prioriterade fågelarter.docx", "Långsidberget V")</f>
        <v/>
      </c>
      <c r="AE33" t="inlineStr">
        <is>
          <t>Sveaskog</t>
        </is>
      </c>
      <c r="AF33" t="inlineStr">
        <is>
          <t>Hela avv-anm</t>
        </is>
      </c>
      <c r="AH33" t="inlineStr">
        <is>
          <t>Sägs vara mycket fin skog</t>
        </is>
      </c>
      <c r="AI33" t="inlineStr">
        <is>
          <t>Låg/måttlig</t>
        </is>
      </c>
      <c r="AJ33" t="inlineStr">
        <is>
          <t>Ja</t>
        </is>
      </c>
      <c r="AK33" t="n">
        <v>2</v>
      </c>
      <c r="AL33" t="n">
        <v/>
      </c>
    </row>
    <row r="34" ht="15" customHeight="1">
      <c r="A34" t="inlineStr">
        <is>
          <t>Sandnäsgrottan</t>
        </is>
      </c>
      <c r="B34" t="inlineStr">
        <is>
          <t>avverkningsanmälan</t>
        </is>
      </c>
      <c r="D34" s="1" t="n">
        <v>46223</v>
      </c>
      <c r="E34" s="1" t="n">
        <v>46223</v>
      </c>
      <c r="F34" t="inlineStr">
        <is>
          <t>Jämtlands län</t>
        </is>
      </c>
      <c r="G34" t="inlineStr">
        <is>
          <t>Berg</t>
        </is>
      </c>
      <c r="I34" t="n">
        <v>62.9</v>
      </c>
      <c r="J34" t="n">
        <v>0</v>
      </c>
      <c r="K34" t="n">
        <v>0</v>
      </c>
      <c r="L34" t="n">
        <v>7</v>
      </c>
      <c r="M34" t="n">
        <v>3</v>
      </c>
      <c r="N34" t="n">
        <v>0</v>
      </c>
      <c r="O34" t="n">
        <v>0</v>
      </c>
      <c r="P34" t="n">
        <v>0</v>
      </c>
      <c r="Q34" t="n">
        <v>10</v>
      </c>
      <c r="R34" t="n">
        <v>3</v>
      </c>
      <c r="S34" t="n">
        <v>10</v>
      </c>
      <c r="T34" t="n">
        <v>16</v>
      </c>
      <c r="U34" s="2" t="inlineStr">
        <is>
          <t>Blackticka
Gränsticka
Ulltickeporing
Lunglav
Rosenticka
Skrovellav
Stjärntagging
Tallticka
Ullticka
Violettgrå tagellav</t>
        </is>
      </c>
      <c r="V34">
        <f>HYPERLINK("https://klasma.github.io/Logging_FORSKNINGSRESAN_2023/artfynd/Sandnäsgrottan artfynd.xlsx", "Sandnäsgrottan")</f>
        <v/>
      </c>
      <c r="W34">
        <f>HYPERLINK("https://klasma.github.io/Logging_FORSKNINGSRESAN_2023/kartor/Sandnäsgrottan karta.png", "Sandnäsgrottan")</f>
        <v/>
      </c>
      <c r="X34">
        <f>HYPERLINK("https://klasma.github.io/Logging_FORSKNINGSRESAN_2023/kartor_geotiff/Sandnäsgrottan georefererad karta.tif", "Sandnäsgrottan")</f>
        <v/>
      </c>
      <c r="Z34">
        <f>HYPERLINK("https://klasma.github.io/Logging_FORSKNINGSRESAN_2023/klagomål/Sandnäsgrottan FSC-klagomål.docx", "Sandnäsgrottan")</f>
        <v/>
      </c>
      <c r="AA34">
        <f>HYPERLINK("https://klasma.github.io/Logging_FORSKNINGSRESAN_2023/klagomålsmail/Sandnäsgrottan FSC-klagomål mail.docx", "Sandnäsgrottan")</f>
        <v/>
      </c>
      <c r="AB34">
        <f>HYPERLINK("https://klasma.github.io/Logging_FORSKNINGSRESAN_2023/tillsyn/Sandnäsgrottan tillsynsbegäran.docx", "Sandnäsgrottan")</f>
        <v/>
      </c>
      <c r="AC34">
        <f>HYPERLINK("https://klasma.github.io/Logging_FORSKNINGSRESAN_2023/tillsynsmail/Sandnäsgrottan tillsynsbegäran mail.docx", "Sandnäsgrottan")</f>
        <v/>
      </c>
      <c r="AE34" t="inlineStr">
        <is>
          <t>SCA</t>
        </is>
      </c>
      <c r="AF34" t="inlineStr">
        <is>
          <t>Nej</t>
        </is>
      </c>
      <c r="AH34" t="inlineStr">
        <is>
          <t>Ser ganska bra ut! Granskog?</t>
        </is>
      </c>
      <c r="AI34" t="inlineStr">
        <is>
          <t>Låg påverkan</t>
        </is>
      </c>
      <c r="AJ34" t="inlineStr">
        <is>
          <t>Ja</t>
        </is>
      </c>
      <c r="AK34" t="n">
        <v>2</v>
      </c>
      <c r="AL34" t="n">
        <v/>
      </c>
    </row>
    <row r="35" ht="15" customHeight="1">
      <c r="A35" t="inlineStr">
        <is>
          <t>Blåtjärnen</t>
        </is>
      </c>
      <c r="B35" t="inlineStr">
        <is>
          <t>avverkningsanmälan</t>
        </is>
      </c>
      <c r="D35" s="1" t="n">
        <v>46223</v>
      </c>
      <c r="E35" s="1" t="n">
        <v>46223</v>
      </c>
      <c r="F35" t="inlineStr">
        <is>
          <t>Jämtlands län</t>
        </is>
      </c>
      <c r="G35" t="inlineStr">
        <is>
          <t>Berg</t>
        </is>
      </c>
      <c r="I35" t="n">
        <v>94.09999999999999</v>
      </c>
      <c r="J35" t="n">
        <v>2</v>
      </c>
      <c r="K35" t="n">
        <v>2</v>
      </c>
      <c r="L35" t="n">
        <v>4</v>
      </c>
      <c r="M35" t="n">
        <v>1</v>
      </c>
      <c r="N35" t="n">
        <v>0</v>
      </c>
      <c r="O35" t="n">
        <v>0</v>
      </c>
      <c r="P35" t="n">
        <v>0</v>
      </c>
      <c r="Q35" t="n">
        <v>5</v>
      </c>
      <c r="R35" t="n">
        <v>1</v>
      </c>
      <c r="S35" t="n">
        <v>8</v>
      </c>
      <c r="T35" t="n">
        <v>18</v>
      </c>
      <c r="U35" s="2" t="inlineStr">
        <is>
          <t>Knärot
Dvärgbägarlav
Lunglav
Reliktbock
Vitplätt
Grönpyrola
Stuplav
Tjäder</t>
        </is>
      </c>
      <c r="V35">
        <f>HYPERLINK("https://klasma.github.io/Logging_FORSKNINGSRESAN_2023/artfynd/Blåtjärnen artfynd.xlsx", "Blåtjärnen")</f>
        <v/>
      </c>
      <c r="W35">
        <f>HYPERLINK("https://klasma.github.io/Logging_FORSKNINGSRESAN_2023/kartor/Blåtjärnen karta.png", "Blåtjärnen")</f>
        <v/>
      </c>
      <c r="X35">
        <f>HYPERLINK("https://klasma.github.io/Logging_FORSKNINGSRESAN_2023/kartor_geotiff/Blåtjärnen georefererad karta.tif", "Blåtjärnen")</f>
        <v/>
      </c>
      <c r="Y35">
        <f>HYPERLINK("https://klasma.github.io/Logging_FORSKNINGSRESAN_2023/knärot/Blåtjärnen karta knärot.png", "Blåtjärnen")</f>
        <v/>
      </c>
      <c r="Z35">
        <f>HYPERLINK("https://klasma.github.io/Logging_FORSKNINGSRESAN_2023/klagomål/Blåtjärnen FSC-klagomål.docx", "Blåtjärnen")</f>
        <v/>
      </c>
      <c r="AA35">
        <f>HYPERLINK("https://klasma.github.io/Logging_FORSKNINGSRESAN_2023/klagomålsmail/Blåtjärnen FSC-klagomål mail.docx", "Blåtjärnen")</f>
        <v/>
      </c>
      <c r="AB35">
        <f>HYPERLINK("https://klasma.github.io/Logging_FORSKNINGSRESAN_2023/tillsyn/Blåtjärnen tillsynsbegäran.docx", "Blåtjärnen")</f>
        <v/>
      </c>
      <c r="AC35">
        <f>HYPERLINK("https://klasma.github.io/Logging_FORSKNINGSRESAN_2023/tillsynsmail/Blåtjärnen tillsynsbegäran mail.docx", "Blåtjärnen")</f>
        <v/>
      </c>
      <c r="AD35">
        <f>HYPERLINK("https://klasma.github.io/Logging_FORSKNINGSRESAN_2023/fåglar/Blåtjärnen prioriterade fågelarter.docx", "Blåtjärnen")</f>
        <v/>
      </c>
      <c r="AE35" t="inlineStr">
        <is>
          <t>SCA</t>
        </is>
      </c>
      <c r="AF35" t="inlineStr">
        <is>
          <t>Nej</t>
        </is>
      </c>
      <c r="AG35" t="n">
        <v/>
      </c>
      <c r="AH35" t="inlineStr">
        <is>
          <t>Ser ut som fin stava</t>
        </is>
      </c>
      <c r="AI35" t="inlineStr">
        <is>
          <t>Låg</t>
        </is>
      </c>
      <c r="AJ35" t="inlineStr">
        <is>
          <t>Ja</t>
        </is>
      </c>
      <c r="AK35" t="n">
        <v>1</v>
      </c>
      <c r="AL35" t="n">
        <v/>
      </c>
    </row>
    <row r="36" ht="15" customHeight="1">
      <c r="A36" t="inlineStr">
        <is>
          <t>Sjättnäsbäcken SCA</t>
        </is>
      </c>
      <c r="B36" t="inlineStr">
        <is>
          <t>avverkningsanmälan</t>
        </is>
      </c>
      <c r="D36" s="1" t="n">
        <v>46223</v>
      </c>
      <c r="E36" s="1" t="n">
        <v>46223</v>
      </c>
      <c r="F36" t="inlineStr">
        <is>
          <t>Jämtlands län</t>
        </is>
      </c>
      <c r="G36" t="inlineStr">
        <is>
          <t>Berg</t>
        </is>
      </c>
      <c r="I36" t="n">
        <v>35.4</v>
      </c>
      <c r="J36" t="n">
        <v>1</v>
      </c>
      <c r="K36" t="n">
        <v>3</v>
      </c>
      <c r="L36" t="n">
        <v>3</v>
      </c>
      <c r="M36" t="n">
        <v>1</v>
      </c>
      <c r="N36" t="n">
        <v>0</v>
      </c>
      <c r="O36" t="n">
        <v>0</v>
      </c>
      <c r="P36" t="n">
        <v>0</v>
      </c>
      <c r="Q36" t="n">
        <v>4</v>
      </c>
      <c r="R36" t="n">
        <v>1</v>
      </c>
      <c r="S36" t="n">
        <v>7</v>
      </c>
      <c r="T36" t="n">
        <v>8</v>
      </c>
      <c r="U36" s="2" t="inlineStr">
        <is>
          <t>Garnlav
Lunglav
Skrovellav
Vitgrynig nållav
Bårdlav
Spindelblomster
Stuplav</t>
        </is>
      </c>
      <c r="V36">
        <f>HYPERLINK("https://klasma.github.io/Logging_FORSKNINGSRESAN_2023/artfynd/Sjättnäsbäcken SCA artfynd.xlsx", "Sjättnäsbäcken SCA")</f>
        <v/>
      </c>
      <c r="W36">
        <f>HYPERLINK("https://klasma.github.io/Logging_FORSKNINGSRESAN_2023/kartor/Sjättnäsbäcken SCA karta.png", "Sjättnäsbäcken SCA")</f>
        <v/>
      </c>
      <c r="X36">
        <f>HYPERLINK("https://klasma.github.io/Logging_FORSKNINGSRESAN_2023/kartor_geotiff/Sjättnäsbäcken SCA georefererad karta.tif", "Sjättnäsbäcken SCA")</f>
        <v/>
      </c>
      <c r="Z36">
        <f>HYPERLINK("https://klasma.github.io/Logging_FORSKNINGSRESAN_2023/klagomål/Sjättnäsbäcken SCA FSC-klagomål.docx", "Sjättnäsbäcken SCA")</f>
        <v/>
      </c>
      <c r="AA36">
        <f>HYPERLINK("https://klasma.github.io/Logging_FORSKNINGSRESAN_2023/klagomålsmail/Sjättnäsbäcken SCA FSC-klagomål mail.docx", "Sjättnäsbäcken SCA")</f>
        <v/>
      </c>
      <c r="AB36">
        <f>HYPERLINK("https://klasma.github.io/Logging_FORSKNINGSRESAN_2023/tillsyn/Sjättnäsbäcken SCA tillsynsbegäran.docx", "Sjättnäsbäcken SCA")</f>
        <v/>
      </c>
      <c r="AC36">
        <f>HYPERLINK("https://klasma.github.io/Logging_FORSKNINGSRESAN_2023/tillsynsmail/Sjättnäsbäcken SCA tillsynsbegäran mail.docx", "Sjättnäsbäcken SCA")</f>
        <v/>
      </c>
      <c r="AE36" t="inlineStr">
        <is>
          <t>SCA</t>
        </is>
      </c>
      <c r="AF36" t="inlineStr">
        <is>
          <t>Nej</t>
        </is>
      </c>
      <c r="AG36" t="n">
        <v/>
      </c>
      <c r="AH36" t="inlineStr">
        <is>
          <t>Tycker det ser bra ut! Nära</t>
        </is>
      </c>
      <c r="AI36" t="inlineStr">
        <is>
          <t>Låg</t>
        </is>
      </c>
      <c r="AJ36" t="inlineStr">
        <is>
          <t>Ja</t>
        </is>
      </c>
      <c r="AK36" t="n">
        <v>1</v>
      </c>
      <c r="AL36" t="inlineStr">
        <is>
          <t>Halvbra, V3. Lövrik granskog.</t>
        </is>
      </c>
    </row>
    <row r="37" ht="15" customHeight="1">
      <c r="A37" t="inlineStr">
        <is>
          <t>Rammsjöberget V Sveaskog</t>
        </is>
      </c>
      <c r="B37" t="inlineStr">
        <is>
          <t>avverkningsanmälan</t>
        </is>
      </c>
      <c r="D37" s="1" t="n">
        <v>46223</v>
      </c>
      <c r="E37" s="1" t="n">
        <v>46223</v>
      </c>
      <c r="F37" t="inlineStr">
        <is>
          <t>Jämtlands län</t>
        </is>
      </c>
      <c r="G37" t="inlineStr">
        <is>
          <t>Berg</t>
        </is>
      </c>
      <c r="I37" t="n">
        <v>81.2</v>
      </c>
      <c r="J37" t="n">
        <v>1</v>
      </c>
      <c r="K37" t="n">
        <v>1</v>
      </c>
      <c r="L37" t="n">
        <v>3</v>
      </c>
      <c r="M37" t="n">
        <v>2</v>
      </c>
      <c r="N37" t="n">
        <v>0</v>
      </c>
      <c r="O37" t="n">
        <v>0</v>
      </c>
      <c r="P37" t="n">
        <v>0</v>
      </c>
      <c r="Q37" t="n">
        <v>5</v>
      </c>
      <c r="R37" t="n">
        <v>2</v>
      </c>
      <c r="S37" t="n">
        <v>6</v>
      </c>
      <c r="T37" t="n">
        <v>10</v>
      </c>
      <c r="U37" s="2" t="inlineStr">
        <is>
          <t>Garnlav
Knärot
Lunglav
Skrovellav
Vitgrynig nållav
Blodticka</t>
        </is>
      </c>
      <c r="V37">
        <f>HYPERLINK("https://klasma.github.io/Logging_FORSKNINGSRESAN_2023/artfynd/Rammsjöberget V Sveaskog artfynd.xlsx", "Rammsjöberget V Sveaskog")</f>
        <v/>
      </c>
      <c r="W37">
        <f>HYPERLINK("https://klasma.github.io/Logging_FORSKNINGSRESAN_2023/kartor/Rammsjöberget V Sveaskog karta.png", "Rammsjöberget V Sveaskog")</f>
        <v/>
      </c>
      <c r="X37">
        <f>HYPERLINK("https://klasma.github.io/Logging_FORSKNINGSRESAN_2023/kartor_geotiff/Rammsjöberget V Sveaskog georefererad karta.tif", "Rammsjöberget V Sveaskog")</f>
        <v/>
      </c>
      <c r="Y37">
        <f>HYPERLINK("https://klasma.github.io/Logging_FORSKNINGSRESAN_2023/knärot/Rammsjöberget V Sveaskog karta knärot.png", "Rammsjöberget V Sveaskog")</f>
        <v/>
      </c>
      <c r="Z37">
        <f>HYPERLINK("https://klasma.github.io/Logging_FORSKNINGSRESAN_2023/klagomål/Rammsjöberget V Sveaskog FSC-klagomål.docx", "Rammsjöberget V Sveaskog")</f>
        <v/>
      </c>
      <c r="AA37">
        <f>HYPERLINK("https://klasma.github.io/Logging_FORSKNINGSRESAN_2023/klagomålsmail/Rammsjöberget V Sveaskog FSC-klagomål mail.docx", "Rammsjöberget V Sveaskog")</f>
        <v/>
      </c>
      <c r="AB37">
        <f>HYPERLINK("https://klasma.github.io/Logging_FORSKNINGSRESAN_2023/tillsyn/Rammsjöberget V Sveaskog tillsynsbegäran.docx", "Rammsjöberget V Sveaskog")</f>
        <v/>
      </c>
      <c r="AC37">
        <f>HYPERLINK("https://klasma.github.io/Logging_FORSKNINGSRESAN_2023/tillsynsmail/Rammsjöberget V Sveaskog tillsynsbegäran mail.docx", "Rammsjöberget V Sveaskog")</f>
        <v/>
      </c>
      <c r="AE37" t="inlineStr">
        <is>
          <t>Sveaskog, Holmen</t>
        </is>
      </c>
      <c r="AF37" t="inlineStr">
        <is>
          <t>Två avv-anm</t>
        </is>
      </c>
      <c r="AG37" t="n">
        <v/>
      </c>
      <c r="AH37" t="inlineStr">
        <is>
          <t>Ser inte jättebra ut, men ändå intressant bergssluttning</t>
        </is>
      </c>
      <c r="AI37" t="inlineStr">
        <is>
          <t>Hårt påverkat</t>
        </is>
      </c>
      <c r="AJ37" t="inlineStr">
        <is>
          <t>Ja</t>
        </is>
      </c>
      <c r="AK37" t="n">
        <v>1</v>
      </c>
      <c r="AL37" t="inlineStr">
        <is>
          <t>Klockren NB i O. Reka nedan berget.</t>
        </is>
      </c>
    </row>
    <row r="38" ht="15" customHeight="1">
      <c r="A38" t="inlineStr">
        <is>
          <t>Köljesjön</t>
        </is>
      </c>
      <c r="B38" t="inlineStr">
        <is>
          <t>avverkningsanmälan</t>
        </is>
      </c>
      <c r="D38" s="1" t="n">
        <v>46223</v>
      </c>
      <c r="E38" s="1" t="n">
        <v>46223</v>
      </c>
      <c r="F38" t="inlineStr">
        <is>
          <t>Jämtlands län</t>
        </is>
      </c>
      <c r="G38" t="inlineStr">
        <is>
          <t>Berg</t>
        </is>
      </c>
      <c r="I38" t="n">
        <v>88.5</v>
      </c>
      <c r="J38" t="n">
        <v>1</v>
      </c>
      <c r="K38" t="n">
        <v>0</v>
      </c>
      <c r="L38" t="n">
        <v>4</v>
      </c>
      <c r="M38" t="n">
        <v>1</v>
      </c>
      <c r="N38" t="n">
        <v>0</v>
      </c>
      <c r="O38" t="n">
        <v>0</v>
      </c>
      <c r="P38" t="n">
        <v>0</v>
      </c>
      <c r="Q38" t="n">
        <v>5</v>
      </c>
      <c r="R38" t="n">
        <v>1</v>
      </c>
      <c r="S38" t="n">
        <v>6</v>
      </c>
      <c r="T38" t="n">
        <v>9</v>
      </c>
      <c r="U38" s="2" t="inlineStr">
        <is>
          <t>Garnlav
Dropptaggsvamp
Kolflarnlav
Lunglav
Vedskivlav
Spillkråka</t>
        </is>
      </c>
      <c r="V38">
        <f>HYPERLINK("https://klasma.github.io/Logging_FORSKNINGSRESAN_2023/artfynd/Köljesjön artfynd.xlsx", "Köljesjön")</f>
        <v/>
      </c>
      <c r="W38">
        <f>HYPERLINK("https://klasma.github.io/Logging_FORSKNINGSRESAN_2023/kartor/Köljesjön karta.png", "Köljesjön")</f>
        <v/>
      </c>
      <c r="X38">
        <f>HYPERLINK("https://klasma.github.io/Logging_FORSKNINGSRESAN_2023/kartor_geotiff/Köljesjön georefererad karta.tif", "Köljesjön")</f>
        <v/>
      </c>
      <c r="Z38">
        <f>HYPERLINK("https://klasma.github.io/Logging_FORSKNINGSRESAN_2023/klagomål/Köljesjön FSC-klagomål.docx", "Köljesjön")</f>
        <v/>
      </c>
      <c r="AA38">
        <f>HYPERLINK("https://klasma.github.io/Logging_FORSKNINGSRESAN_2023/klagomålsmail/Köljesjön FSC-klagomål mail.docx", "Köljesjön")</f>
        <v/>
      </c>
      <c r="AB38">
        <f>HYPERLINK("https://klasma.github.io/Logging_FORSKNINGSRESAN_2023/tillsyn/Köljesjön tillsynsbegäran.docx", "Köljesjön")</f>
        <v/>
      </c>
      <c r="AC38">
        <f>HYPERLINK("https://klasma.github.io/Logging_FORSKNINGSRESAN_2023/tillsynsmail/Köljesjön tillsynsbegäran mail.docx", "Köljesjön")</f>
        <v/>
      </c>
      <c r="AD38">
        <f>HYPERLINK("https://klasma.github.io/Logging_FORSKNINGSRESAN_2023/fåglar/Köljesjön prioriterade fågelarter.docx", "Köljesjön")</f>
        <v/>
      </c>
      <c r="AE38" t="inlineStr">
        <is>
          <t>SCA</t>
        </is>
      </c>
      <c r="AF38" t="inlineStr">
        <is>
          <t>Ja, centralt</t>
        </is>
      </c>
      <c r="AH38" t="inlineStr">
        <is>
          <t>Ser inte jättebra ut, men kan vara ok</t>
        </is>
      </c>
      <c r="AI38" t="inlineStr">
        <is>
          <t>Måttlig påverkan</t>
        </is>
      </c>
      <c r="AJ38" t="inlineStr">
        <is>
          <t>Ja</t>
        </is>
      </c>
      <c r="AK38" t="n">
        <v>2</v>
      </c>
      <c r="AL38" t="n">
        <v/>
      </c>
    </row>
    <row r="39" ht="15" customHeight="1">
      <c r="A39" t="inlineStr">
        <is>
          <t>Börsåsen - PRIVAT</t>
        </is>
      </c>
      <c r="B39" t="inlineStr">
        <is>
          <t>avverkningsanmälan</t>
        </is>
      </c>
      <c r="D39" s="1" t="n">
        <v>46223</v>
      </c>
      <c r="E39" s="1" t="n">
        <v>46223</v>
      </c>
      <c r="F39" t="inlineStr">
        <is>
          <t>Jämtlands län</t>
        </is>
      </c>
      <c r="G39" t="inlineStr">
        <is>
          <t>Berg</t>
        </is>
      </c>
      <c r="I39" t="n">
        <v>78.5</v>
      </c>
      <c r="J39" t="n">
        <v>3</v>
      </c>
      <c r="K39" t="n">
        <v>2</v>
      </c>
      <c r="L39" t="n">
        <v>0</v>
      </c>
      <c r="M39" t="n">
        <v>0</v>
      </c>
      <c r="N39" t="n">
        <v>0</v>
      </c>
      <c r="O39" t="n">
        <v>0</v>
      </c>
      <c r="P39" t="n">
        <v>0</v>
      </c>
      <c r="Q39" t="n">
        <v>0</v>
      </c>
      <c r="R39" t="n">
        <v>0</v>
      </c>
      <c r="S39" t="n">
        <v>4</v>
      </c>
      <c r="T39" t="n">
        <v>4</v>
      </c>
      <c r="U39" s="2" t="inlineStr">
        <is>
          <t>Korallrot
Ögonpyrola
Blåsippa
Äkta lopplummer</t>
        </is>
      </c>
      <c r="V39">
        <f>HYPERLINK("https://klasma.github.io/Logging_FORSKNINGSRESAN_2023/artfynd/Börsåsen - PRIVAT artfynd.xlsx", "Börsåsen - PRIVAT")</f>
        <v/>
      </c>
      <c r="W39">
        <f>HYPERLINK("https://klasma.github.io/Logging_FORSKNINGSRESAN_2023/kartor/Börsåsen - PRIVAT karta.png", "Börsåsen - PRIVAT")</f>
        <v/>
      </c>
      <c r="X39">
        <f>HYPERLINK("https://klasma.github.io/Logging_FORSKNINGSRESAN_2023/kartor_geotiff/Börsåsen - PRIVAT georefererad karta.tif", "Börsåsen - PRIVAT")</f>
        <v/>
      </c>
      <c r="Z39">
        <f>HYPERLINK("https://klasma.github.io/Logging_FORSKNINGSRESAN_2023/klagomål/Börsåsen - PRIVAT FSC-klagomål.docx", "Börsåsen - PRIVAT")</f>
        <v/>
      </c>
      <c r="AA39">
        <f>HYPERLINK("https://klasma.github.io/Logging_FORSKNINGSRESAN_2023/klagomålsmail/Börsåsen - PRIVAT FSC-klagomål mail.docx", "Börsåsen - PRIVAT")</f>
        <v/>
      </c>
      <c r="AB39">
        <f>HYPERLINK("https://klasma.github.io/Logging_FORSKNINGSRESAN_2023/tillsyn/Börsåsen - PRIVAT tillsynsbegäran.docx", "Börsåsen - PRIVAT")</f>
        <v/>
      </c>
      <c r="AC39">
        <f>HYPERLINK("https://klasma.github.io/Logging_FORSKNINGSRESAN_2023/tillsynsmail/Börsåsen - PRIVAT tillsynsbegäran mail.docx", "Börsåsen - PRIVAT")</f>
        <v/>
      </c>
      <c r="AE39" t="inlineStr">
        <is>
          <t>Privat</t>
        </is>
      </c>
      <c r="AF39" t="inlineStr">
        <is>
          <t>Nej</t>
        </is>
      </c>
      <c r="AH39" t="inlineStr">
        <is>
          <t>Ser ok ut</t>
        </is>
      </c>
      <c r="AI39" t="inlineStr">
        <is>
          <t>Låg</t>
        </is>
      </c>
      <c r="AJ39" t="inlineStr">
        <is>
          <t>Ja</t>
        </is>
      </c>
      <c r="AK39" t="n">
        <v>2</v>
      </c>
      <c r="AL39" t="n">
        <v/>
      </c>
    </row>
    <row r="40" ht="15" customHeight="1">
      <c r="A40" t="inlineStr">
        <is>
          <t>Lill-Börsåsen</t>
        </is>
      </c>
      <c r="B40" t="inlineStr">
        <is>
          <t>avverkningsanmälan</t>
        </is>
      </c>
      <c r="D40" s="1" t="n">
        <v>46223</v>
      </c>
      <c r="E40" s="1" t="n">
        <v>46223</v>
      </c>
      <c r="F40" t="inlineStr">
        <is>
          <t>Jämtlands län</t>
        </is>
      </c>
      <c r="G40" t="inlineStr">
        <is>
          <t>Berg</t>
        </is>
      </c>
      <c r="I40" t="n">
        <v>39.2</v>
      </c>
      <c r="J40" t="n">
        <v>0</v>
      </c>
      <c r="K40" t="n">
        <v>0</v>
      </c>
      <c r="L40" t="n">
        <v>3</v>
      </c>
      <c r="M40" t="n">
        <v>1</v>
      </c>
      <c r="N40" t="n">
        <v>0</v>
      </c>
      <c r="O40" t="n">
        <v>0</v>
      </c>
      <c r="P40" t="n">
        <v>0</v>
      </c>
      <c r="Q40" t="n">
        <v>4</v>
      </c>
      <c r="R40" t="n">
        <v>1</v>
      </c>
      <c r="S40" t="n">
        <v>4</v>
      </c>
      <c r="T40" t="n">
        <v>6</v>
      </c>
      <c r="U40" s="2" t="inlineStr">
        <is>
          <t>Garnlav
Blå taggsvamp
Dropptaggsvamp
Lunglav</t>
        </is>
      </c>
      <c r="V40">
        <f>HYPERLINK("https://klasma.github.io/Logging_FORSKNINGSRESAN_2023/artfynd/Lill-Börsåsen artfynd.xlsx", "Lill-Börsåsen")</f>
        <v/>
      </c>
      <c r="W40">
        <f>HYPERLINK("https://klasma.github.io/Logging_FORSKNINGSRESAN_2023/kartor/Lill-Börsåsen karta.png", "Lill-Börsåsen")</f>
        <v/>
      </c>
      <c r="X40">
        <f>HYPERLINK("https://klasma.github.io/Logging_FORSKNINGSRESAN_2023/kartor_geotiff/Lill-Börsåsen georefererad karta.tif", "Lill-Börsåsen")</f>
        <v/>
      </c>
      <c r="Z40">
        <f>HYPERLINK("https://klasma.github.io/Logging_FORSKNINGSRESAN_2023/klagomål/Lill-Börsåsen FSC-klagomål.docx", "Lill-Börsåsen")</f>
        <v/>
      </c>
      <c r="AA40">
        <f>HYPERLINK("https://klasma.github.io/Logging_FORSKNINGSRESAN_2023/klagomålsmail/Lill-Börsåsen FSC-klagomål mail.docx", "Lill-Börsåsen")</f>
        <v/>
      </c>
      <c r="AB40">
        <f>HYPERLINK("https://klasma.github.io/Logging_FORSKNINGSRESAN_2023/tillsyn/Lill-Börsåsen tillsynsbegäran.docx", "Lill-Börsåsen")</f>
        <v/>
      </c>
      <c r="AC40">
        <f>HYPERLINK("https://klasma.github.io/Logging_FORSKNINGSRESAN_2023/tillsynsmail/Lill-Börsåsen tillsynsbegäran mail.docx", "Lill-Börsåsen")</f>
        <v/>
      </c>
      <c r="AE40" t="inlineStr">
        <is>
          <t>SCA i V, privat i O</t>
        </is>
      </c>
      <c r="AF40" t="inlineStr">
        <is>
          <t>Nej</t>
        </is>
      </c>
      <c r="AH40" t="inlineStr">
        <is>
          <t>Svårbedömt, privat också...</t>
        </is>
      </c>
      <c r="AI40" t="inlineStr">
        <is>
          <t>Måttligt påverkat</t>
        </is>
      </c>
      <c r="AJ40" t="inlineStr">
        <is>
          <t>Ja</t>
        </is>
      </c>
      <c r="AK40" t="n">
        <v>2</v>
      </c>
      <c r="AL40" t="n">
        <v/>
      </c>
    </row>
    <row r="41" ht="15" customHeight="1">
      <c r="A41" t="inlineStr">
        <is>
          <t>Krogsand</t>
        </is>
      </c>
      <c r="B41" t="inlineStr">
        <is>
          <t>avverkningsanmälan</t>
        </is>
      </c>
      <c r="D41" s="1" t="n">
        <v>46223</v>
      </c>
      <c r="E41" s="1" t="n">
        <v>46223</v>
      </c>
      <c r="F41" t="inlineStr">
        <is>
          <t>Jämtlands län</t>
        </is>
      </c>
      <c r="G41" t="inlineStr">
        <is>
          <t>Berg</t>
        </is>
      </c>
      <c r="I41" t="n">
        <v>176.6</v>
      </c>
      <c r="J41" t="n">
        <v>0</v>
      </c>
      <c r="K41" t="n">
        <v>1</v>
      </c>
      <c r="L41" t="n">
        <v>3</v>
      </c>
      <c r="M41" t="n">
        <v>0</v>
      </c>
      <c r="N41" t="n">
        <v>0</v>
      </c>
      <c r="O41" t="n">
        <v>0</v>
      </c>
      <c r="P41" t="n">
        <v>0</v>
      </c>
      <c r="Q41" t="n">
        <v>3</v>
      </c>
      <c r="R41" t="n">
        <v>0</v>
      </c>
      <c r="S41" t="n">
        <v>4</v>
      </c>
      <c r="T41" t="n">
        <v>7</v>
      </c>
      <c r="U41" s="2" t="inlineStr">
        <is>
          <t>Dropptaggsvamp
Lunglav
Reliktbock
Stuplav</t>
        </is>
      </c>
      <c r="V41">
        <f>HYPERLINK("https://klasma.github.io/Logging_FORSKNINGSRESAN_2023/artfynd/Krogsand artfynd.xlsx", "Krogsand")</f>
        <v/>
      </c>
      <c r="W41">
        <f>HYPERLINK("https://klasma.github.io/Logging_FORSKNINGSRESAN_2023/kartor/Krogsand karta.png", "Krogsand")</f>
        <v/>
      </c>
      <c r="X41">
        <f>HYPERLINK("https://klasma.github.io/Logging_FORSKNINGSRESAN_2023/kartor_geotiff/Krogsand georefererad karta.tif", "Krogsand")</f>
        <v/>
      </c>
      <c r="Z41">
        <f>HYPERLINK("https://klasma.github.io/Logging_FORSKNINGSRESAN_2023/klagomål/Krogsand FSC-klagomål.docx", "Krogsand")</f>
        <v/>
      </c>
      <c r="AA41">
        <f>HYPERLINK("https://klasma.github.io/Logging_FORSKNINGSRESAN_2023/klagomålsmail/Krogsand FSC-klagomål mail.docx", "Krogsand")</f>
        <v/>
      </c>
      <c r="AB41">
        <f>HYPERLINK("https://klasma.github.io/Logging_FORSKNINGSRESAN_2023/tillsyn/Krogsand tillsynsbegäran.docx", "Krogsand")</f>
        <v/>
      </c>
      <c r="AC41">
        <f>HYPERLINK("https://klasma.github.io/Logging_FORSKNINGSRESAN_2023/tillsynsmail/Krogsand tillsynsbegäran mail.docx", "Krogsand")</f>
        <v/>
      </c>
      <c r="AE41" t="inlineStr">
        <is>
          <t>SCA</t>
        </is>
      </c>
      <c r="AF41" t="inlineStr">
        <is>
          <t>Helt avvanm</t>
        </is>
      </c>
      <c r="AH41" t="inlineStr">
        <is>
          <t>Ser inte särskilt bra ut</t>
        </is>
      </c>
      <c r="AI41" t="inlineStr">
        <is>
          <t>Hög påverkan</t>
        </is>
      </c>
      <c r="AJ41" t="inlineStr">
        <is>
          <t>Ja</t>
        </is>
      </c>
      <c r="AK41" t="n">
        <v>2</v>
      </c>
      <c r="AL41" t="n">
        <v/>
      </c>
    </row>
    <row r="42" ht="15" customHeight="1">
      <c r="A42" t="inlineStr">
        <is>
          <t>Gyllene druvan</t>
        </is>
      </c>
      <c r="B42" t="inlineStr">
        <is>
          <t>avverkningsanmälan</t>
        </is>
      </c>
      <c r="D42" s="1" t="n">
        <v>46223</v>
      </c>
      <c r="E42" s="1" t="n">
        <v>46223</v>
      </c>
      <c r="F42" t="inlineStr">
        <is>
          <t>Jämtlands län</t>
        </is>
      </c>
      <c r="G42" t="inlineStr">
        <is>
          <t>Berg</t>
        </is>
      </c>
      <c r="I42" t="n">
        <v>14.1</v>
      </c>
      <c r="J42" t="n">
        <v>0</v>
      </c>
      <c r="K42" t="n">
        <v>0</v>
      </c>
      <c r="L42" t="n">
        <v>3</v>
      </c>
      <c r="M42" t="n">
        <v>1</v>
      </c>
      <c r="N42" t="n">
        <v>0</v>
      </c>
      <c r="O42" t="n">
        <v>0</v>
      </c>
      <c r="P42" t="n">
        <v>0</v>
      </c>
      <c r="Q42" t="n">
        <v>4</v>
      </c>
      <c r="R42" t="n">
        <v>1</v>
      </c>
      <c r="S42" t="n">
        <v>4</v>
      </c>
      <c r="T42" t="n">
        <v>5</v>
      </c>
      <c r="U42" s="2" t="inlineStr">
        <is>
          <t>Garnlav
Doftskinn
Lunglav
Vitgrynig nållav</t>
        </is>
      </c>
      <c r="V42">
        <f>HYPERLINK("https://klasma.github.io/Logging_FORSKNINGSRESAN_2023/artfynd/Gyllene druvan artfynd.xlsx", "Gyllene druvan")</f>
        <v/>
      </c>
      <c r="W42">
        <f>HYPERLINK("https://klasma.github.io/Logging_FORSKNINGSRESAN_2023/kartor/Gyllene druvan karta.png", "Gyllene druvan")</f>
        <v/>
      </c>
      <c r="X42">
        <f>HYPERLINK("https://klasma.github.io/Logging_FORSKNINGSRESAN_2023/kartor_geotiff/Gyllene druvan georefererad karta.tif", "Gyllene druvan")</f>
        <v/>
      </c>
      <c r="Z42">
        <f>HYPERLINK("https://klasma.github.io/Logging_FORSKNINGSRESAN_2023/klagomål/Gyllene druvan FSC-klagomål.docx", "Gyllene druvan")</f>
        <v/>
      </c>
      <c r="AA42">
        <f>HYPERLINK("https://klasma.github.io/Logging_FORSKNINGSRESAN_2023/klagomålsmail/Gyllene druvan FSC-klagomål mail.docx", "Gyllene druvan")</f>
        <v/>
      </c>
      <c r="AB42">
        <f>HYPERLINK("https://klasma.github.io/Logging_FORSKNINGSRESAN_2023/tillsyn/Gyllene druvan tillsynsbegäran.docx", "Gyllene druvan")</f>
        <v/>
      </c>
      <c r="AC42">
        <f>HYPERLINK("https://klasma.github.io/Logging_FORSKNINGSRESAN_2023/tillsynsmail/Gyllene druvan tillsynsbegäran mail.docx", "Gyllene druvan")</f>
        <v/>
      </c>
      <c r="AE42" t="inlineStr">
        <is>
          <t>Kyrkan</t>
        </is>
      </c>
      <c r="AF42" t="inlineStr">
        <is>
          <t>Nej</t>
        </is>
      </c>
      <c r="AH42" t="inlineStr">
        <is>
          <t>Ser bra ut! Gissar granskog med asp</t>
        </is>
      </c>
      <c r="AI42" t="inlineStr">
        <is>
          <t>Låg påverkan</t>
        </is>
      </c>
      <c r="AJ42" t="inlineStr">
        <is>
          <t>Ja</t>
        </is>
      </c>
      <c r="AK42" t="n">
        <v>2</v>
      </c>
      <c r="AL42" t="inlineStr">
        <is>
          <t>Lövrik granskog ca 100-årig m sparsamt inslag av äldre. Underröjd.
V3 - ej högsta prio</t>
        </is>
      </c>
    </row>
    <row r="43" ht="15" customHeight="1">
      <c r="A43" t="inlineStr">
        <is>
          <t>Röjans sandtallskog</t>
        </is>
      </c>
      <c r="B43" t="inlineStr">
        <is>
          <t>avverkningsanmälan</t>
        </is>
      </c>
      <c r="D43" s="1" t="n">
        <v>46223</v>
      </c>
      <c r="E43" s="1" t="n">
        <v>46223</v>
      </c>
      <c r="F43" t="inlineStr">
        <is>
          <t>Jämtlands län</t>
        </is>
      </c>
      <c r="G43" t="inlineStr">
        <is>
          <t>Berg</t>
        </is>
      </c>
      <c r="I43" t="n">
        <v>185.3</v>
      </c>
      <c r="J43" t="n">
        <v>0</v>
      </c>
      <c r="K43" t="n">
        <v>0</v>
      </c>
      <c r="L43" t="n">
        <v>2</v>
      </c>
      <c r="M43" t="n">
        <v>2</v>
      </c>
      <c r="N43" t="n">
        <v>0</v>
      </c>
      <c r="O43" t="n">
        <v>0</v>
      </c>
      <c r="P43" t="n">
        <v>0</v>
      </c>
      <c r="Q43" t="n">
        <v>4</v>
      </c>
      <c r="R43" t="n">
        <v>2</v>
      </c>
      <c r="S43" t="n">
        <v>4</v>
      </c>
      <c r="T43" t="n">
        <v>26</v>
      </c>
      <c r="U43" s="2" t="inlineStr">
        <is>
          <t>Fläckporing
Gräddporing
Dvärgbägarlav
Reliktbock</t>
        </is>
      </c>
      <c r="V43">
        <f>HYPERLINK("https://klasma.github.io/Logging_FORSKNINGSRESAN_2023/artfynd/Röjans sandtallskog artfynd.xlsx", "Röjans sandtallskog")</f>
        <v/>
      </c>
      <c r="W43">
        <f>HYPERLINK("https://klasma.github.io/Logging_FORSKNINGSRESAN_2023/kartor/Röjans sandtallskog karta.png", "Röjans sandtallskog")</f>
        <v/>
      </c>
      <c r="X43">
        <f>HYPERLINK("https://klasma.github.io/Logging_FORSKNINGSRESAN_2023/kartor_geotiff/Röjans sandtallskog georefererad karta.tif", "Röjans sandtallskog")</f>
        <v/>
      </c>
      <c r="Z43">
        <f>HYPERLINK("https://klasma.github.io/Logging_FORSKNINGSRESAN_2023/klagomål/Röjans sandtallskog FSC-klagomål.docx", "Röjans sandtallskog")</f>
        <v/>
      </c>
      <c r="AA43">
        <f>HYPERLINK("https://klasma.github.io/Logging_FORSKNINGSRESAN_2023/klagomålsmail/Röjans sandtallskog FSC-klagomål mail.docx", "Röjans sandtallskog")</f>
        <v/>
      </c>
      <c r="AB43">
        <f>HYPERLINK("https://klasma.github.io/Logging_FORSKNINGSRESAN_2023/tillsyn/Röjans sandtallskog tillsynsbegäran.docx", "Röjans sandtallskog")</f>
        <v/>
      </c>
      <c r="AC43">
        <f>HYPERLINK("https://klasma.github.io/Logging_FORSKNINGSRESAN_2023/tillsynsmail/Röjans sandtallskog tillsynsbegäran mail.docx", "Röjans sandtallskog")</f>
        <v/>
      </c>
      <c r="AE43" t="inlineStr">
        <is>
          <t>SCA</t>
        </is>
      </c>
      <c r="AF43" t="inlineStr">
        <is>
          <t>Nej</t>
        </is>
      </c>
      <c r="AH43" t="inlineStr">
        <is>
          <t>Ser ut som potent marksvampslokal</t>
        </is>
      </c>
      <c r="AI43" t="inlineStr">
        <is>
          <t>Hög påverkan</t>
        </is>
      </c>
      <c r="AJ43" t="inlineStr">
        <is>
          <t>Ja</t>
        </is>
      </c>
      <c r="AK43" t="n">
        <v>2</v>
      </c>
      <c r="AL43" t="n">
        <v/>
      </c>
    </row>
    <row r="44" ht="15" customHeight="1">
      <c r="A44" t="inlineStr">
        <is>
          <t>Fagflobäcken - PRIVAT</t>
        </is>
      </c>
      <c r="B44" t="inlineStr">
        <is>
          <t>avverkningsanmälan</t>
        </is>
      </c>
      <c r="D44" s="1" t="n">
        <v>46223</v>
      </c>
      <c r="E44" s="1" t="n">
        <v>46223</v>
      </c>
      <c r="F44" t="inlineStr">
        <is>
          <t>Jämtlands län</t>
        </is>
      </c>
      <c r="G44" t="inlineStr">
        <is>
          <t>Berg</t>
        </is>
      </c>
      <c r="I44" t="n">
        <v>95</v>
      </c>
      <c r="J44" t="n">
        <v>1</v>
      </c>
      <c r="K44" t="n">
        <v>0</v>
      </c>
      <c r="L44" t="n">
        <v>1</v>
      </c>
      <c r="M44" t="n">
        <v>1</v>
      </c>
      <c r="N44" t="n">
        <v>0</v>
      </c>
      <c r="O44" t="n">
        <v>0</v>
      </c>
      <c r="P44" t="n">
        <v>0</v>
      </c>
      <c r="Q44" t="n">
        <v>2</v>
      </c>
      <c r="R44" t="n">
        <v>1</v>
      </c>
      <c r="S44" t="n">
        <v>3</v>
      </c>
      <c r="T44" t="n">
        <v>3</v>
      </c>
      <c r="U44" s="2" t="inlineStr">
        <is>
          <t>Garnlav
Skarp dropptaggsvamp
Mindre vattensalamander</t>
        </is>
      </c>
      <c r="V44">
        <f>HYPERLINK("https://klasma.github.io/Logging_FORSKNINGSRESAN_2023/artfynd/Fagflobäcken - PRIVAT artfynd.xlsx", "Fagflobäcken - PRIVAT")</f>
        <v/>
      </c>
      <c r="W44">
        <f>HYPERLINK("https://klasma.github.io/Logging_FORSKNINGSRESAN_2023/kartor/Fagflobäcken - PRIVAT karta.png", "Fagflobäcken - PRIVAT")</f>
        <v/>
      </c>
      <c r="X44">
        <f>HYPERLINK("https://klasma.github.io/Logging_FORSKNINGSRESAN_2023/kartor_geotiff/Fagflobäcken - PRIVAT georefererad karta.tif", "Fagflobäcken - PRIVAT")</f>
        <v/>
      </c>
      <c r="Z44">
        <f>HYPERLINK("https://klasma.github.io/Logging_FORSKNINGSRESAN_2023/klagomål/Fagflobäcken - PRIVAT FSC-klagomål.docx", "Fagflobäcken - PRIVAT")</f>
        <v/>
      </c>
      <c r="AA44">
        <f>HYPERLINK("https://klasma.github.io/Logging_FORSKNINGSRESAN_2023/klagomålsmail/Fagflobäcken - PRIVAT FSC-klagomål mail.docx", "Fagflobäcken - PRIVAT")</f>
        <v/>
      </c>
      <c r="AB44">
        <f>HYPERLINK("https://klasma.github.io/Logging_FORSKNINGSRESAN_2023/tillsyn/Fagflobäcken - PRIVAT tillsynsbegäran.docx", "Fagflobäcken - PRIVAT")</f>
        <v/>
      </c>
      <c r="AC44">
        <f>HYPERLINK("https://klasma.github.io/Logging_FORSKNINGSRESAN_2023/tillsynsmail/Fagflobäcken - PRIVAT tillsynsbegäran mail.docx", "Fagflobäcken - PRIVAT")</f>
        <v/>
      </c>
      <c r="AE44" t="inlineStr">
        <is>
          <t>Privat</t>
        </is>
      </c>
      <c r="AF44" t="inlineStr">
        <is>
          <t>Nej</t>
        </is>
      </c>
      <c r="AH44" t="inlineStr">
        <is>
          <t>Ser ganska bra ut! Gränsar mot blivande Hortesån-reservatet</t>
        </is>
      </c>
      <c r="AI44" t="inlineStr">
        <is>
          <t>Låg påverkan</t>
        </is>
      </c>
      <c r="AJ44" t="inlineStr">
        <is>
          <t>Ja</t>
        </is>
      </c>
      <c r="AK44" t="n">
        <v>2</v>
      </c>
      <c r="AL44" t="n">
        <v/>
      </c>
    </row>
    <row r="45" ht="15" customHeight="1">
      <c r="A45" t="inlineStr">
        <is>
          <t>Fligget</t>
        </is>
      </c>
      <c r="B45" t="inlineStr">
        <is>
          <t>avverkningsanmälan</t>
        </is>
      </c>
      <c r="D45" s="1" t="n">
        <v>46223</v>
      </c>
      <c r="E45" s="1" t="n">
        <v>46223</v>
      </c>
      <c r="F45" t="inlineStr">
        <is>
          <t>Jämtlands län</t>
        </is>
      </c>
      <c r="G45" t="inlineStr">
        <is>
          <t>Berg</t>
        </is>
      </c>
      <c r="I45" t="n">
        <v>22.8</v>
      </c>
      <c r="J45" t="n">
        <v>1</v>
      </c>
      <c r="K45" t="n">
        <v>1</v>
      </c>
      <c r="L45" t="n">
        <v>2</v>
      </c>
      <c r="M45" t="n">
        <v>0</v>
      </c>
      <c r="N45" t="n">
        <v>0</v>
      </c>
      <c r="O45" t="n">
        <v>0</v>
      </c>
      <c r="P45" t="n">
        <v>0</v>
      </c>
      <c r="Q45" t="n">
        <v>2</v>
      </c>
      <c r="R45" t="n">
        <v>0</v>
      </c>
      <c r="S45" t="n">
        <v>3</v>
      </c>
      <c r="T45" t="n">
        <v>4</v>
      </c>
      <c r="U45" s="2" t="inlineStr">
        <is>
          <t>Lunglav
Tretåig hackspett
Skinnlav</t>
        </is>
      </c>
      <c r="V45">
        <f>HYPERLINK("https://klasma.github.io/Logging_FORSKNINGSRESAN_2023/artfynd/Fligget artfynd.xlsx", "Fligget")</f>
        <v/>
      </c>
      <c r="W45">
        <f>HYPERLINK("https://klasma.github.io/Logging_FORSKNINGSRESAN_2023/kartor/Fligget karta.png", "Fligget")</f>
        <v/>
      </c>
      <c r="X45">
        <f>HYPERLINK("https://klasma.github.io/Logging_FORSKNINGSRESAN_2023/kartor_geotiff/Fligget georefererad karta.tif", "Fligget")</f>
        <v/>
      </c>
      <c r="Z45">
        <f>HYPERLINK("https://klasma.github.io/Logging_FORSKNINGSRESAN_2023/klagomål/Fligget FSC-klagomål.docx", "Fligget")</f>
        <v/>
      </c>
      <c r="AA45">
        <f>HYPERLINK("https://klasma.github.io/Logging_FORSKNINGSRESAN_2023/klagomålsmail/Fligget FSC-klagomål mail.docx", "Fligget")</f>
        <v/>
      </c>
      <c r="AB45">
        <f>HYPERLINK("https://klasma.github.io/Logging_FORSKNINGSRESAN_2023/tillsyn/Fligget tillsynsbegäran.docx", "Fligget")</f>
        <v/>
      </c>
      <c r="AC45">
        <f>HYPERLINK("https://klasma.github.io/Logging_FORSKNINGSRESAN_2023/tillsynsmail/Fligget tillsynsbegäran mail.docx", "Fligget")</f>
        <v/>
      </c>
      <c r="AD45">
        <f>HYPERLINK("https://klasma.github.io/Logging_FORSKNINGSRESAN_2023/fåglar/Fligget prioriterade fågelarter.docx", "Fligget")</f>
        <v/>
      </c>
      <c r="AE45" t="inlineStr">
        <is>
          <t>SCA</t>
        </is>
      </c>
      <c r="AF45" t="inlineStr">
        <is>
          <t>Nej</t>
        </is>
      </c>
      <c r="AH45" t="inlineStr">
        <is>
          <t>Litet, men ser mycket bra ut</t>
        </is>
      </c>
      <c r="AI45" t="inlineStr">
        <is>
          <t>Låg</t>
        </is>
      </c>
      <c r="AJ45" t="inlineStr">
        <is>
          <t>Ja</t>
        </is>
      </c>
      <c r="AK45" t="n">
        <v>2</v>
      </c>
      <c r="AL45" t="n">
        <v/>
      </c>
    </row>
    <row r="46" ht="15" customHeight="1">
      <c r="A46" t="inlineStr">
        <is>
          <t>Sjättnäsbäcken Holmen</t>
        </is>
      </c>
      <c r="B46" t="inlineStr">
        <is>
          <t>avverkningsanmälan</t>
        </is>
      </c>
      <c r="D46" s="1" t="n">
        <v>46223</v>
      </c>
      <c r="E46" s="1" t="n">
        <v>46223</v>
      </c>
      <c r="F46" t="inlineStr">
        <is>
          <t>Jämtlands län</t>
        </is>
      </c>
      <c r="G46" t="inlineStr">
        <is>
          <t>Berg</t>
        </is>
      </c>
      <c r="I46" t="n">
        <v>20.8</v>
      </c>
      <c r="J46" t="n">
        <v>0</v>
      </c>
      <c r="K46" t="n">
        <v>0</v>
      </c>
      <c r="L46" t="n">
        <v>1</v>
      </c>
      <c r="M46" t="n">
        <v>1</v>
      </c>
      <c r="N46" t="n">
        <v>0</v>
      </c>
      <c r="O46" t="n">
        <v>0</v>
      </c>
      <c r="P46" t="n">
        <v>0</v>
      </c>
      <c r="Q46" t="n">
        <v>2</v>
      </c>
      <c r="R46" t="n">
        <v>1</v>
      </c>
      <c r="S46" t="n">
        <v>2</v>
      </c>
      <c r="T46" t="n">
        <v>3</v>
      </c>
      <c r="U46" s="2" t="inlineStr">
        <is>
          <t>Garnlav
Vitgrynig nållav</t>
        </is>
      </c>
      <c r="V46">
        <f>HYPERLINK("https://klasma.github.io/Logging_FORSKNINGSRESAN_2023/artfynd/Sjättnäsbäcken Holmen artfynd.xlsx", "Sjättnäsbäcken Holmen")</f>
        <v/>
      </c>
      <c r="W46">
        <f>HYPERLINK("https://klasma.github.io/Logging_FORSKNINGSRESAN_2023/kartor/Sjättnäsbäcken Holmen karta.png", "Sjättnäsbäcken Holmen")</f>
        <v/>
      </c>
      <c r="X46">
        <f>HYPERLINK("https://klasma.github.io/Logging_FORSKNINGSRESAN_2023/kartor_geotiff/Sjättnäsbäcken Holmen georefererad karta.tif", "Sjättnäsbäcken Holmen")</f>
        <v/>
      </c>
      <c r="Z46">
        <f>HYPERLINK("https://klasma.github.io/Logging_FORSKNINGSRESAN_2023/klagomål/Sjättnäsbäcken Holmen FSC-klagomål.docx", "Sjättnäsbäcken Holmen")</f>
        <v/>
      </c>
      <c r="AA46">
        <f>HYPERLINK("https://klasma.github.io/Logging_FORSKNINGSRESAN_2023/klagomålsmail/Sjättnäsbäcken Holmen FSC-klagomål mail.docx", "Sjättnäsbäcken Holmen")</f>
        <v/>
      </c>
      <c r="AB46">
        <f>HYPERLINK("https://klasma.github.io/Logging_FORSKNINGSRESAN_2023/tillsyn/Sjättnäsbäcken Holmen tillsynsbegäran.docx", "Sjättnäsbäcken Holmen")</f>
        <v/>
      </c>
      <c r="AC46">
        <f>HYPERLINK("https://klasma.github.io/Logging_FORSKNINGSRESAN_2023/tillsynsmail/Sjättnäsbäcken Holmen tillsynsbegäran mail.docx", "Sjättnäsbäcken Holmen")</f>
        <v/>
      </c>
      <c r="AE46" t="inlineStr">
        <is>
          <t>Holmen</t>
        </is>
      </c>
      <c r="AF46" t="inlineStr">
        <is>
          <t>Helt avv</t>
        </is>
      </c>
      <c r="AH46" t="inlineStr">
        <is>
          <t>Ser inte så bra ut. Oklar kontinuitet.</t>
        </is>
      </c>
      <c r="AI46" t="inlineStr">
        <is>
          <t>Hög</t>
        </is>
      </c>
      <c r="AJ46" t="inlineStr">
        <is>
          <t>Ja</t>
        </is>
      </c>
      <c r="AK46" t="n">
        <v>2</v>
      </c>
      <c r="AL46" t="n">
        <v/>
      </c>
    </row>
    <row r="47" ht="15" customHeight="1">
      <c r="A47" t="inlineStr">
        <is>
          <t>Rammsjöberget S - PRIVAT</t>
        </is>
      </c>
      <c r="B47" t="inlineStr">
        <is>
          <t>avverkningsanmälan</t>
        </is>
      </c>
      <c r="D47" s="1" t="n">
        <v>46223</v>
      </c>
      <c r="E47" s="1" t="n">
        <v>46223</v>
      </c>
      <c r="F47" t="inlineStr">
        <is>
          <t>Jämtlands län</t>
        </is>
      </c>
      <c r="G47" t="inlineStr">
        <is>
          <t>Berg</t>
        </is>
      </c>
      <c r="I47" t="n">
        <v>105.7</v>
      </c>
      <c r="J47" t="n">
        <v>1</v>
      </c>
      <c r="K47" t="n">
        <v>1</v>
      </c>
      <c r="L47" t="n">
        <v>0</v>
      </c>
      <c r="M47" t="n">
        <v>1</v>
      </c>
      <c r="N47" t="n">
        <v>0</v>
      </c>
      <c r="O47" t="n">
        <v>0</v>
      </c>
      <c r="P47" t="n">
        <v>0</v>
      </c>
      <c r="Q47" t="n">
        <v>1</v>
      </c>
      <c r="R47" t="n">
        <v>1</v>
      </c>
      <c r="S47" t="n">
        <v>2</v>
      </c>
      <c r="T47" t="n">
        <v>2</v>
      </c>
      <c r="U47" s="2" t="inlineStr">
        <is>
          <t>Doftticka
Korallblylav</t>
        </is>
      </c>
      <c r="V47">
        <f>HYPERLINK("https://klasma.github.io/Logging_FORSKNINGSRESAN_2023/artfynd/Rammsjöberget S - PRIVAT artfynd.xlsx", "Rammsjöberget S - PRIVAT")</f>
        <v/>
      </c>
      <c r="W47">
        <f>HYPERLINK("https://klasma.github.io/Logging_FORSKNINGSRESAN_2023/kartor/Rammsjöberget S - PRIVAT karta.png", "Rammsjöberget S - PRIVAT")</f>
        <v/>
      </c>
      <c r="X47">
        <f>HYPERLINK("https://klasma.github.io/Logging_FORSKNINGSRESAN_2023/kartor_geotiff/Rammsjöberget S - PRIVAT georefererad karta.tif", "Rammsjöberget S - PRIVAT")</f>
        <v/>
      </c>
      <c r="Z47">
        <f>HYPERLINK("https://klasma.github.io/Logging_FORSKNINGSRESAN_2023/klagomål/Rammsjöberget S - PRIVAT FSC-klagomål.docx", "Rammsjöberget S - PRIVAT")</f>
        <v/>
      </c>
      <c r="AA47">
        <f>HYPERLINK("https://klasma.github.io/Logging_FORSKNINGSRESAN_2023/klagomålsmail/Rammsjöberget S - PRIVAT FSC-klagomål mail.docx", "Rammsjöberget S - PRIVAT")</f>
        <v/>
      </c>
      <c r="AB47">
        <f>HYPERLINK("https://klasma.github.io/Logging_FORSKNINGSRESAN_2023/tillsyn/Rammsjöberget S - PRIVAT tillsynsbegäran.docx", "Rammsjöberget S - PRIVAT")</f>
        <v/>
      </c>
      <c r="AC47">
        <f>HYPERLINK("https://klasma.github.io/Logging_FORSKNINGSRESAN_2023/tillsynsmail/Rammsjöberget S - PRIVAT tillsynsbegäran mail.docx", "Rammsjöberget S - PRIVAT")</f>
        <v/>
      </c>
      <c r="AE47" t="inlineStr">
        <is>
          <t>Privat</t>
        </is>
      </c>
      <c r="AF47" t="inlineStr">
        <is>
          <t>Ja, ett par mindre</t>
        </is>
      </c>
      <c r="AH47" t="inlineStr">
        <is>
          <t>Ganska varierat, svårbedömt, kan vara ok</t>
        </is>
      </c>
      <c r="AI47" t="inlineStr">
        <is>
          <t>Hög</t>
        </is>
      </c>
      <c r="AJ47" t="inlineStr">
        <is>
          <t>Ja</t>
        </is>
      </c>
      <c r="AK47" t="n">
        <v>2</v>
      </c>
      <c r="AL47" t="n">
        <v/>
      </c>
    </row>
    <row r="48" ht="15" customHeight="1">
      <c r="A48" t="inlineStr">
        <is>
          <t>Skärsundnäsberget</t>
        </is>
      </c>
      <c r="B48" t="inlineStr">
        <is>
          <t>avverkningsanmälan</t>
        </is>
      </c>
      <c r="D48" s="1" t="n">
        <v>46223</v>
      </c>
      <c r="E48" s="1" t="n">
        <v>46223</v>
      </c>
      <c r="F48" t="inlineStr">
        <is>
          <t>Jämtlands län</t>
        </is>
      </c>
      <c r="G48" t="inlineStr">
        <is>
          <t>Berg</t>
        </is>
      </c>
      <c r="I48" t="n">
        <v>69.5</v>
      </c>
      <c r="J48" t="n">
        <v>2</v>
      </c>
      <c r="K48" t="n">
        <v>0</v>
      </c>
      <c r="L48" t="n">
        <v>1</v>
      </c>
      <c r="M48" t="n">
        <v>1</v>
      </c>
      <c r="N48" t="n">
        <v>0</v>
      </c>
      <c r="O48" t="n">
        <v>0</v>
      </c>
      <c r="P48" t="n">
        <v>0</v>
      </c>
      <c r="Q48" t="n">
        <v>2</v>
      </c>
      <c r="R48" t="n">
        <v>1</v>
      </c>
      <c r="S48" t="n">
        <v>2</v>
      </c>
      <c r="T48" t="n">
        <v>3</v>
      </c>
      <c r="U48" s="2" t="inlineStr">
        <is>
          <t>Knärot
Duvhök</t>
        </is>
      </c>
      <c r="V48">
        <f>HYPERLINK("https://klasma.github.io/Logging_FORSKNINGSRESAN_2023/artfynd/Skärsundnäsberget artfynd.xlsx", "Skärsundnäsberget")</f>
        <v/>
      </c>
      <c r="W48">
        <f>HYPERLINK("https://klasma.github.io/Logging_FORSKNINGSRESAN_2023/kartor/Skärsundnäsberget karta.png", "Skärsundnäsberget")</f>
        <v/>
      </c>
      <c r="X48">
        <f>HYPERLINK("https://klasma.github.io/Logging_FORSKNINGSRESAN_2023/kartor_geotiff/Skärsundnäsberget georefererad karta.tif", "Skärsundnäsberget")</f>
        <v/>
      </c>
      <c r="Y48">
        <f>HYPERLINK("https://klasma.github.io/Logging_FORSKNINGSRESAN_2023/knärot/Skärsundnäsberget karta knärot.png", "Skärsundnäsberget")</f>
        <v/>
      </c>
      <c r="Z48">
        <f>HYPERLINK("https://klasma.github.io/Logging_FORSKNINGSRESAN_2023/klagomål/Skärsundnäsberget FSC-klagomål.docx", "Skärsundnäsberget")</f>
        <v/>
      </c>
      <c r="AA48">
        <f>HYPERLINK("https://klasma.github.io/Logging_FORSKNINGSRESAN_2023/klagomålsmail/Skärsundnäsberget FSC-klagomål mail.docx", "Skärsundnäsberget")</f>
        <v/>
      </c>
      <c r="AB48">
        <f>HYPERLINK("https://klasma.github.io/Logging_FORSKNINGSRESAN_2023/tillsyn/Skärsundnäsberget tillsynsbegäran.docx", "Skärsundnäsberget")</f>
        <v/>
      </c>
      <c r="AC48">
        <f>HYPERLINK("https://klasma.github.io/Logging_FORSKNINGSRESAN_2023/tillsynsmail/Skärsundnäsberget tillsynsbegäran mail.docx", "Skärsundnäsberget")</f>
        <v/>
      </c>
      <c r="AD48">
        <f>HYPERLINK("https://klasma.github.io/Logging_FORSKNINGSRESAN_2023/fåglar/Skärsundnäsberget prioriterade fågelarter.docx", "Skärsundnäsberget")</f>
        <v/>
      </c>
      <c r="AE48" t="inlineStr">
        <is>
          <t>SCA</t>
        </is>
      </c>
      <c r="AF48" t="inlineStr">
        <is>
          <t>Nej</t>
        </is>
      </c>
      <c r="AH48" t="inlineStr">
        <is>
          <t>Ser bra ut, om än ganska påverkat</t>
        </is>
      </c>
      <c r="AI48" t="inlineStr">
        <is>
          <t>Måttlig påverkan</t>
        </is>
      </c>
      <c r="AJ48" t="inlineStr">
        <is>
          <t>Ja</t>
        </is>
      </c>
      <c r="AK48" t="n">
        <v>2</v>
      </c>
      <c r="AL48" t="n">
        <v/>
      </c>
    </row>
    <row r="49" ht="15" customHeight="1">
      <c r="A49" t="inlineStr">
        <is>
          <t>Furuberget</t>
        </is>
      </c>
      <c r="B49" t="inlineStr">
        <is>
          <t>avverkningsanmälan</t>
        </is>
      </c>
      <c r="D49" s="1" t="n">
        <v>46223</v>
      </c>
      <c r="E49" s="1" t="n">
        <v>46223</v>
      </c>
      <c r="F49" t="inlineStr">
        <is>
          <t>Jämtlands län</t>
        </is>
      </c>
      <c r="G49" t="inlineStr">
        <is>
          <t>Berg</t>
        </is>
      </c>
      <c r="I49" t="n">
        <v>47.6</v>
      </c>
      <c r="J49" t="n">
        <v>0</v>
      </c>
      <c r="K49" t="n">
        <v>0</v>
      </c>
      <c r="L49" t="n">
        <v>1</v>
      </c>
      <c r="M49" t="n">
        <v>1</v>
      </c>
      <c r="N49" t="n">
        <v>0</v>
      </c>
      <c r="O49" t="n">
        <v>0</v>
      </c>
      <c r="P49" t="n">
        <v>0</v>
      </c>
      <c r="Q49" t="n">
        <v>2</v>
      </c>
      <c r="R49" t="n">
        <v>1</v>
      </c>
      <c r="S49" t="n">
        <v>2</v>
      </c>
      <c r="T49" t="n">
        <v>2</v>
      </c>
      <c r="U49" s="2" t="inlineStr">
        <is>
          <t>Garnlav
Rosenticka</t>
        </is>
      </c>
      <c r="V49">
        <f>HYPERLINK("https://klasma.github.io/Logging_FORSKNINGSRESAN_2023/artfynd/Furuberget artfynd.xlsx", "Furuberget")</f>
        <v/>
      </c>
      <c r="W49">
        <f>HYPERLINK("https://klasma.github.io/Logging_FORSKNINGSRESAN_2023/kartor/Furuberget karta.png", "Furuberget")</f>
        <v/>
      </c>
      <c r="X49">
        <f>HYPERLINK("https://klasma.github.io/Logging_FORSKNINGSRESAN_2023/kartor_geotiff/Furuberget georefererad karta.tif", "Furuberget")</f>
        <v/>
      </c>
      <c r="Z49">
        <f>HYPERLINK("https://klasma.github.io/Logging_FORSKNINGSRESAN_2023/klagomål/Furuberget FSC-klagomål.docx", "Furuberget")</f>
        <v/>
      </c>
      <c r="AA49">
        <f>HYPERLINK("https://klasma.github.io/Logging_FORSKNINGSRESAN_2023/klagomålsmail/Furuberget FSC-klagomål mail.docx", "Furuberget")</f>
        <v/>
      </c>
      <c r="AB49">
        <f>HYPERLINK("https://klasma.github.io/Logging_FORSKNINGSRESAN_2023/tillsyn/Furuberget tillsynsbegäran.docx", "Furuberget")</f>
        <v/>
      </c>
      <c r="AC49">
        <f>HYPERLINK("https://klasma.github.io/Logging_FORSKNINGSRESAN_2023/tillsynsmail/Furuberget tillsynsbegäran mail.docx", "Furuberget")</f>
        <v/>
      </c>
      <c r="AE49" t="inlineStr">
        <is>
          <t>Sveaskog, Holmen</t>
        </is>
      </c>
      <c r="AF49" t="inlineStr">
        <is>
          <t>Nästan helt avv-anm</t>
        </is>
      </c>
      <c r="AH49" t="inlineStr">
        <is>
          <t>Gissningsvis halvbra barrblandskog</t>
        </is>
      </c>
      <c r="AI49" t="inlineStr">
        <is>
          <t>Tämligen hårt påverkad</t>
        </is>
      </c>
      <c r="AJ49" t="inlineStr">
        <is>
          <t>Ja</t>
        </is>
      </c>
      <c r="AK49" t="n">
        <v>2</v>
      </c>
      <c r="AL49" t="n">
        <v/>
      </c>
    </row>
    <row r="50" ht="15" customHeight="1">
      <c r="A50" t="inlineStr">
        <is>
          <t>Hoan</t>
        </is>
      </c>
      <c r="B50" t="inlineStr">
        <is>
          <t>avverkningsanmälan</t>
        </is>
      </c>
      <c r="D50" s="1" t="n">
        <v>46223</v>
      </c>
      <c r="E50" s="1" t="n">
        <v>46223</v>
      </c>
      <c r="F50" t="inlineStr">
        <is>
          <t>Jämtlands län</t>
        </is>
      </c>
      <c r="G50" t="inlineStr">
        <is>
          <t>Berg</t>
        </is>
      </c>
      <c r="I50" t="n">
        <v>98.59999999999999</v>
      </c>
      <c r="J50" t="n">
        <v>0</v>
      </c>
      <c r="K50" t="n">
        <v>0</v>
      </c>
      <c r="L50" t="n">
        <v>0</v>
      </c>
      <c r="M50" t="n">
        <v>0</v>
      </c>
      <c r="N50" t="n">
        <v>1</v>
      </c>
      <c r="O50" t="n">
        <v>0</v>
      </c>
      <c r="P50" t="n">
        <v>0</v>
      </c>
      <c r="Q50" t="n">
        <v>1</v>
      </c>
      <c r="R50" t="n">
        <v>1</v>
      </c>
      <c r="S50" t="n">
        <v>1</v>
      </c>
      <c r="T50" t="n">
        <v>2</v>
      </c>
      <c r="U50" s="2" t="inlineStr">
        <is>
          <t>Flodpärlmussla</t>
        </is>
      </c>
      <c r="V50">
        <f>HYPERLINK("https://klasma.github.io/Logging_FORSKNINGSRESAN_2023/artfynd/Hoan artfynd.xlsx", "Hoan")</f>
        <v/>
      </c>
      <c r="W50">
        <f>HYPERLINK("https://klasma.github.io/Logging_FORSKNINGSRESAN_2023/kartor/Hoan karta.png", "Hoan")</f>
        <v/>
      </c>
      <c r="X50">
        <f>HYPERLINK("https://klasma.github.io/Logging_FORSKNINGSRESAN_2023/kartor_geotiff/Hoan georefererad karta.tif", "Hoan")</f>
        <v/>
      </c>
      <c r="Z50">
        <f>HYPERLINK("https://klasma.github.io/Logging_FORSKNINGSRESAN_2023/klagomål/Hoan FSC-klagomål.docx", "Hoan")</f>
        <v/>
      </c>
      <c r="AA50">
        <f>HYPERLINK("https://klasma.github.io/Logging_FORSKNINGSRESAN_2023/klagomålsmail/Hoan FSC-klagomål mail.docx", "Hoan")</f>
        <v/>
      </c>
      <c r="AB50">
        <f>HYPERLINK("https://klasma.github.io/Logging_FORSKNINGSRESAN_2023/tillsyn/Hoan tillsynsbegäran.docx", "Hoan")</f>
        <v/>
      </c>
      <c r="AC50">
        <f>HYPERLINK("https://klasma.github.io/Logging_FORSKNINGSRESAN_2023/tillsynsmail/Hoan tillsynsbegäran mail.docx", "Hoan")</f>
        <v/>
      </c>
      <c r="AE50" t="inlineStr">
        <is>
          <t>Bergvik?</t>
        </is>
      </c>
      <c r="AF50" t="inlineStr">
        <is>
          <t>Nej</t>
        </is>
      </c>
      <c r="AH50" t="inlineStr">
        <is>
          <t>Svårbedömt. Kan vara kasst.</t>
        </is>
      </c>
      <c r="AI50" t="inlineStr">
        <is>
          <t>Hög påverkan</t>
        </is>
      </c>
      <c r="AJ50" t="inlineStr">
        <is>
          <t>Ja</t>
        </is>
      </c>
      <c r="AK50" t="n">
        <v>2</v>
      </c>
      <c r="AL50" t="n">
        <v/>
      </c>
    </row>
    <row r="51" ht="15" customHeight="1">
      <c r="A51" t="inlineStr">
        <is>
          <t>Ruggelberget</t>
        </is>
      </c>
      <c r="B51" t="inlineStr">
        <is>
          <t>avverkningsanmälan</t>
        </is>
      </c>
      <c r="D51" s="1" t="n">
        <v>46223</v>
      </c>
      <c r="E51" s="1" t="n">
        <v>46223</v>
      </c>
      <c r="F51" t="inlineStr">
        <is>
          <t>Jämtlands län</t>
        </is>
      </c>
      <c r="G51" t="inlineStr">
        <is>
          <t>Berg</t>
        </is>
      </c>
      <c r="I51" t="n">
        <v>239.3</v>
      </c>
      <c r="J51" t="n">
        <v>1</v>
      </c>
      <c r="K51" t="n">
        <v>0</v>
      </c>
      <c r="L51" t="n">
        <v>0</v>
      </c>
      <c r="M51" t="n">
        <v>1</v>
      </c>
      <c r="N51" t="n">
        <v>0</v>
      </c>
      <c r="O51" t="n">
        <v>0</v>
      </c>
      <c r="P51" t="n">
        <v>0</v>
      </c>
      <c r="Q51" t="n">
        <v>1</v>
      </c>
      <c r="R51" t="n">
        <v>1</v>
      </c>
      <c r="S51" t="n">
        <v>1</v>
      </c>
      <c r="T51" t="n">
        <v>1</v>
      </c>
      <c r="U51" s="2" t="inlineStr">
        <is>
          <t>Doftticka</t>
        </is>
      </c>
      <c r="V51">
        <f>HYPERLINK("https://klasma.github.io/Logging_FORSKNINGSRESAN_2023/artfynd/Ruggelberget artfynd.xlsx", "Ruggelberget")</f>
        <v/>
      </c>
      <c r="W51">
        <f>HYPERLINK("https://klasma.github.io/Logging_FORSKNINGSRESAN_2023/kartor/Ruggelberget karta.png", "Ruggelberget")</f>
        <v/>
      </c>
      <c r="X51">
        <f>HYPERLINK("https://klasma.github.io/Logging_FORSKNINGSRESAN_2023/kartor_geotiff/Ruggelberget georefererad karta.tif", "Ruggelberget")</f>
        <v/>
      </c>
      <c r="Z51">
        <f>HYPERLINK("https://klasma.github.io/Logging_FORSKNINGSRESAN_2023/klagomål/Ruggelberget FSC-klagomål.docx", "Ruggelberget")</f>
        <v/>
      </c>
      <c r="AA51">
        <f>HYPERLINK("https://klasma.github.io/Logging_FORSKNINGSRESAN_2023/klagomålsmail/Ruggelberget FSC-klagomål mail.docx", "Ruggelberget")</f>
        <v/>
      </c>
      <c r="AB51">
        <f>HYPERLINK("https://klasma.github.io/Logging_FORSKNINGSRESAN_2023/tillsyn/Ruggelberget tillsynsbegäran.docx", "Ruggelberget")</f>
        <v/>
      </c>
      <c r="AC51">
        <f>HYPERLINK("https://klasma.github.io/Logging_FORSKNINGSRESAN_2023/tillsynsmail/Ruggelberget tillsynsbegäran mail.docx", "Ruggelberget")</f>
        <v/>
      </c>
      <c r="AE51" t="inlineStr">
        <is>
          <t>Stora Enso, privat</t>
        </is>
      </c>
      <c r="AF51" t="inlineStr">
        <is>
          <t>Nej</t>
        </is>
      </c>
      <c r="AH51" t="inlineStr">
        <is>
          <t>Ser ganska bra ut. Dålig form.</t>
        </is>
      </c>
      <c r="AI51" t="inlineStr">
        <is>
          <t>Låg påverkan</t>
        </is>
      </c>
      <c r="AJ51" t="inlineStr">
        <is>
          <t>Ja</t>
        </is>
      </c>
      <c r="AK51" t="n">
        <v>2</v>
      </c>
      <c r="AL51" t="n">
        <v/>
      </c>
    </row>
    <row r="52" ht="15" customHeight="1">
      <c r="A52" t="inlineStr">
        <is>
          <t>Fågelmyrarna</t>
        </is>
      </c>
      <c r="B52" t="inlineStr">
        <is>
          <t>avverkningsanmälan</t>
        </is>
      </c>
      <c r="D52" s="1" t="n">
        <v>46223</v>
      </c>
      <c r="E52" s="1" t="n">
        <v>46223</v>
      </c>
      <c r="F52" t="inlineStr">
        <is>
          <t>Jämtlands län</t>
        </is>
      </c>
      <c r="G52" t="inlineStr">
        <is>
          <t>Berg</t>
        </is>
      </c>
      <c r="I52" t="n">
        <v>20.5</v>
      </c>
      <c r="J52" t="n">
        <v>0</v>
      </c>
      <c r="K52" t="n">
        <v>0</v>
      </c>
      <c r="L52" t="n">
        <v>1</v>
      </c>
      <c r="M52" t="n">
        <v>0</v>
      </c>
      <c r="N52" t="n">
        <v>0</v>
      </c>
      <c r="O52" t="n">
        <v>0</v>
      </c>
      <c r="P52" t="n">
        <v>0</v>
      </c>
      <c r="Q52" t="n">
        <v>1</v>
      </c>
      <c r="R52" t="n">
        <v>0</v>
      </c>
      <c r="S52" t="n">
        <v>1</v>
      </c>
      <c r="T52" t="n">
        <v>1</v>
      </c>
      <c r="U52" s="2" t="inlineStr">
        <is>
          <t>Skrovellav</t>
        </is>
      </c>
      <c r="V52">
        <f>HYPERLINK("https://klasma.github.io/Logging_FORSKNINGSRESAN_2023/artfynd/Fågelmyrarna artfynd.xlsx", "Fågelmyrarna")</f>
        <v/>
      </c>
      <c r="W52">
        <f>HYPERLINK("https://klasma.github.io/Logging_FORSKNINGSRESAN_2023/kartor/Fågelmyrarna karta.png", "Fågelmyrarna")</f>
        <v/>
      </c>
      <c r="X52">
        <f>HYPERLINK("https://klasma.github.io/Logging_FORSKNINGSRESAN_2023/kartor_geotiff/Fågelmyrarna georefererad karta.tif", "Fågelmyrarna")</f>
        <v/>
      </c>
      <c r="Z52">
        <f>HYPERLINK("https://klasma.github.io/Logging_FORSKNINGSRESAN_2023/klagomål/Fågelmyrarna FSC-klagomål.docx", "Fågelmyrarna")</f>
        <v/>
      </c>
      <c r="AA52">
        <f>HYPERLINK("https://klasma.github.io/Logging_FORSKNINGSRESAN_2023/klagomålsmail/Fågelmyrarna FSC-klagomål mail.docx", "Fågelmyrarna")</f>
        <v/>
      </c>
      <c r="AB52">
        <f>HYPERLINK("https://klasma.github.io/Logging_FORSKNINGSRESAN_2023/tillsyn/Fågelmyrarna tillsynsbegäran.docx", "Fågelmyrarna")</f>
        <v/>
      </c>
      <c r="AC52">
        <f>HYPERLINK("https://klasma.github.io/Logging_FORSKNINGSRESAN_2023/tillsynsmail/Fågelmyrarna tillsynsbegäran mail.docx", "Fågelmyrarna")</f>
        <v/>
      </c>
      <c r="AE52" t="inlineStr">
        <is>
          <t>SCA</t>
        </is>
      </c>
      <c r="AF52" t="inlineStr">
        <is>
          <t>Nej</t>
        </is>
      </c>
      <c r="AH52" t="inlineStr">
        <is>
          <t>Ser bra ut. Häll centralt .Bäck i O.</t>
        </is>
      </c>
      <c r="AI52" t="inlineStr">
        <is>
          <t>Måttlig påverkan</t>
        </is>
      </c>
      <c r="AJ52" t="inlineStr">
        <is>
          <t>Ja</t>
        </is>
      </c>
      <c r="AK52" t="n">
        <v>2</v>
      </c>
      <c r="AL52" t="n">
        <v/>
      </c>
    </row>
    <row r="53" ht="15" customHeight="1">
      <c r="A53" t="inlineStr">
        <is>
          <t>Horten NV</t>
        </is>
      </c>
      <c r="B53" t="inlineStr">
        <is>
          <t>avverkningsanmälan</t>
        </is>
      </c>
      <c r="D53" s="1" t="n">
        <v>46223</v>
      </c>
      <c r="E53" s="1" t="n">
        <v>46223</v>
      </c>
      <c r="F53" t="inlineStr">
        <is>
          <t>Jämtlands län</t>
        </is>
      </c>
      <c r="G53" t="inlineStr">
        <is>
          <t>Berg</t>
        </is>
      </c>
      <c r="I53" t="n">
        <v>86.2</v>
      </c>
      <c r="J53" t="n">
        <v>0</v>
      </c>
      <c r="K53" t="n">
        <v>0</v>
      </c>
      <c r="L53" t="n">
        <v>0</v>
      </c>
      <c r="M53" t="n">
        <v>0</v>
      </c>
      <c r="N53" t="n">
        <v>0</v>
      </c>
      <c r="O53" t="n">
        <v>0</v>
      </c>
      <c r="P53" t="n">
        <v>0</v>
      </c>
      <c r="Q53" t="n">
        <v>0</v>
      </c>
      <c r="R53" t="n">
        <v>0</v>
      </c>
      <c r="S53" t="n">
        <v>0</v>
      </c>
      <c r="T53" t="n">
        <v>0</v>
      </c>
      <c r="U53" s="2" t="inlineStr"/>
      <c r="AE53" t="inlineStr">
        <is>
          <t>SCA</t>
        </is>
      </c>
      <c r="AF53" t="inlineStr">
        <is>
          <t>Nej</t>
        </is>
      </c>
      <c r="AG53" t="inlineStr">
        <is>
          <t>Stor del av omr avsatt</t>
        </is>
      </c>
      <c r="AH53" t="inlineStr">
        <is>
          <t>Delvis gallrat</t>
        </is>
      </c>
      <c r="AI53" t="inlineStr">
        <is>
          <t>Hög</t>
        </is>
      </c>
      <c r="AJ53" t="inlineStr">
        <is>
          <t>Ja</t>
        </is>
      </c>
      <c r="AK53" t="n">
        <v>1</v>
      </c>
      <c r="AL53" t="inlineStr">
        <is>
          <t>Sinnessjukt fint
Urskogsartad stavatall blandat med gallrad stava. Skandal.</t>
        </is>
      </c>
    </row>
    <row r="54" ht="15" customHeight="1">
      <c r="A54" t="inlineStr">
        <is>
          <t>Långsidberget NO</t>
        </is>
      </c>
      <c r="B54" t="inlineStr">
        <is>
          <t>avverkningsanmälan</t>
        </is>
      </c>
      <c r="D54" s="1" t="n">
        <v>46223</v>
      </c>
      <c r="E54" s="1" t="n">
        <v>46223</v>
      </c>
      <c r="F54" t="inlineStr">
        <is>
          <t>Jämtlands län</t>
        </is>
      </c>
      <c r="G54" t="inlineStr">
        <is>
          <t>Berg</t>
        </is>
      </c>
      <c r="I54" t="n">
        <v>17.6</v>
      </c>
      <c r="J54" t="n">
        <v>0</v>
      </c>
      <c r="K54" t="n">
        <v>0</v>
      </c>
      <c r="L54" t="n">
        <v>0</v>
      </c>
      <c r="M54" t="n">
        <v>0</v>
      </c>
      <c r="N54" t="n">
        <v>0</v>
      </c>
      <c r="O54" t="n">
        <v>0</v>
      </c>
      <c r="P54" t="n">
        <v>0</v>
      </c>
      <c r="Q54" t="n">
        <v>0</v>
      </c>
      <c r="R54" t="n">
        <v>0</v>
      </c>
      <c r="S54" t="n">
        <v>0</v>
      </c>
      <c r="T54" t="n">
        <v>0</v>
      </c>
      <c r="U54" s="2" t="inlineStr"/>
      <c r="AE54" t="inlineStr">
        <is>
          <t>Sveaskog</t>
        </is>
      </c>
      <c r="AF54" t="inlineStr">
        <is>
          <t>Nästan helt avv</t>
        </is>
      </c>
      <c r="AH54" t="inlineStr">
        <is>
          <t>Ser ut som äldre gallrad tallskog</t>
        </is>
      </c>
      <c r="AI54" t="inlineStr">
        <is>
          <t>Måttlig</t>
        </is>
      </c>
      <c r="AJ54" t="inlineStr">
        <is>
          <t>Ja</t>
        </is>
      </c>
      <c r="AK54" t="n">
        <v>2</v>
      </c>
      <c r="AL54" t="n">
        <v/>
      </c>
    </row>
    <row r="55" ht="15" customHeight="1">
      <c r="A55" t="inlineStr">
        <is>
          <t>Skarpnäset</t>
        </is>
      </c>
      <c r="B55" t="inlineStr">
        <is>
          <t>avverkningsanmälan</t>
        </is>
      </c>
      <c r="D55" s="1" t="n">
        <v>46223</v>
      </c>
      <c r="E55" s="1" t="n">
        <v>46223</v>
      </c>
      <c r="F55" t="inlineStr">
        <is>
          <t>Jämtlands län</t>
        </is>
      </c>
      <c r="G55" t="inlineStr">
        <is>
          <t>Berg</t>
        </is>
      </c>
      <c r="I55" t="n">
        <v>21.9</v>
      </c>
      <c r="J55" t="n">
        <v>0</v>
      </c>
      <c r="K55" t="n">
        <v>0</v>
      </c>
      <c r="L55" t="n">
        <v>0</v>
      </c>
      <c r="M55" t="n">
        <v>0</v>
      </c>
      <c r="N55" t="n">
        <v>0</v>
      </c>
      <c r="O55" t="n">
        <v>0</v>
      </c>
      <c r="P55" t="n">
        <v>0</v>
      </c>
      <c r="Q55" t="n">
        <v>0</v>
      </c>
      <c r="R55" t="n">
        <v>0</v>
      </c>
      <c r="S55" t="n">
        <v>0</v>
      </c>
      <c r="T55" t="n">
        <v>0</v>
      </c>
      <c r="U55" s="2" t="inlineStr"/>
      <c r="AE55" t="inlineStr">
        <is>
          <t>SCA</t>
        </is>
      </c>
      <c r="AF55" t="inlineStr">
        <is>
          <t>Helt avv</t>
        </is>
      </c>
      <c r="AH55" t="inlineStr">
        <is>
          <t>Kan nog vara ok</t>
        </is>
      </c>
      <c r="AI55" t="inlineStr">
        <is>
          <t>Måttlig</t>
        </is>
      </c>
      <c r="AJ55" t="inlineStr">
        <is>
          <t>Ja</t>
        </is>
      </c>
      <c r="AK55" t="n">
        <v>2</v>
      </c>
      <c r="AL55" t="n">
        <v/>
      </c>
    </row>
    <row r="56" ht="15" customHeight="1">
      <c r="A56" t="inlineStr">
        <is>
          <t>Getåsen C</t>
        </is>
      </c>
      <c r="B56" t="inlineStr">
        <is>
          <t>avverkningsanmälan</t>
        </is>
      </c>
      <c r="D56" s="1" t="n">
        <v>46223</v>
      </c>
      <c r="E56" s="1" t="n">
        <v>46223</v>
      </c>
      <c r="F56" t="inlineStr">
        <is>
          <t>Jämtlands län</t>
        </is>
      </c>
      <c r="G56" t="inlineStr">
        <is>
          <t>Berg</t>
        </is>
      </c>
      <c r="I56" t="n">
        <v>65.90000000000001</v>
      </c>
      <c r="J56" t="n">
        <v>0</v>
      </c>
      <c r="K56" t="n">
        <v>0</v>
      </c>
      <c r="L56" t="n">
        <v>0</v>
      </c>
      <c r="M56" t="n">
        <v>0</v>
      </c>
      <c r="N56" t="n">
        <v>0</v>
      </c>
      <c r="O56" t="n">
        <v>0</v>
      </c>
      <c r="P56" t="n">
        <v>0</v>
      </c>
      <c r="Q56" t="n">
        <v>0</v>
      </c>
      <c r="R56" t="n">
        <v>0</v>
      </c>
      <c r="S56" t="n">
        <v>0</v>
      </c>
      <c r="T56" t="n">
        <v>0</v>
      </c>
      <c r="U56" s="2" t="inlineStr"/>
      <c r="AE56" t="inlineStr">
        <is>
          <t>SCA, lite privat</t>
        </is>
      </c>
      <c r="AF56" t="inlineStr">
        <is>
          <t>Nej</t>
        </is>
      </c>
      <c r="AH56" t="inlineStr">
        <is>
          <t>Måste rekas noggrannt! Kan vara ogallrad stavatallskog, svårbedömt</t>
        </is>
      </c>
      <c r="AI56" t="inlineStr">
        <is>
          <t>Svårbedömd</t>
        </is>
      </c>
      <c r="AJ56" t="inlineStr">
        <is>
          <t>Ja</t>
        </is>
      </c>
      <c r="AK56" t="n">
        <v>2</v>
      </c>
      <c r="AL56" t="n">
        <v/>
      </c>
    </row>
    <row r="57" ht="15" customHeight="1">
      <c r="A57" t="inlineStr">
        <is>
          <t>Björnmyrbäcken</t>
        </is>
      </c>
      <c r="B57" t="inlineStr">
        <is>
          <t>avverkningsanmälan</t>
        </is>
      </c>
      <c r="D57" s="1" t="n">
        <v>46223</v>
      </c>
      <c r="E57" s="1" t="n">
        <v>46223</v>
      </c>
      <c r="F57" t="inlineStr">
        <is>
          <t>Jämtlands län</t>
        </is>
      </c>
      <c r="G57" t="inlineStr">
        <is>
          <t>Berg</t>
        </is>
      </c>
      <c r="I57" t="n">
        <v>118</v>
      </c>
      <c r="J57" t="n">
        <v>0</v>
      </c>
      <c r="K57" t="n">
        <v>0</v>
      </c>
      <c r="L57" t="n">
        <v>0</v>
      </c>
      <c r="M57" t="n">
        <v>0</v>
      </c>
      <c r="N57" t="n">
        <v>0</v>
      </c>
      <c r="O57" t="n">
        <v>0</v>
      </c>
      <c r="P57" t="n">
        <v>0</v>
      </c>
      <c r="Q57" t="n">
        <v>0</v>
      </c>
      <c r="R57" t="n">
        <v>0</v>
      </c>
      <c r="S57" t="n">
        <v>0</v>
      </c>
      <c r="T57" t="n">
        <v>0</v>
      </c>
      <c r="U57" s="2" t="inlineStr"/>
      <c r="AE57" t="inlineStr">
        <is>
          <t>Kyrkan</t>
        </is>
      </c>
      <c r="AF57" t="inlineStr">
        <is>
          <t>Nej</t>
        </is>
      </c>
      <c r="AH57" t="inlineStr">
        <is>
          <t>Något varierande, men ser ut att hålla ihop bra</t>
        </is>
      </c>
      <c r="AI57" t="inlineStr">
        <is>
          <t>Tydlig, äldre plock, sentida gallring, dikning</t>
        </is>
      </c>
      <c r="AJ57" t="inlineStr">
        <is>
          <t>Ja</t>
        </is>
      </c>
      <c r="AK57" t="n">
        <v>2</v>
      </c>
      <c r="AL57" t="n">
        <v/>
      </c>
    </row>
    <row r="58" ht="15" customHeight="1">
      <c r="A58" t="inlineStr">
        <is>
          <t>Viberget N</t>
        </is>
      </c>
      <c r="B58" t="inlineStr">
        <is>
          <t>avverkningsanmälan</t>
        </is>
      </c>
      <c r="D58" s="1" t="n">
        <v>46223</v>
      </c>
      <c r="E58" s="1" t="n">
        <v>46223</v>
      </c>
      <c r="F58" t="inlineStr">
        <is>
          <t>Jämtlands län</t>
        </is>
      </c>
      <c r="G58" t="inlineStr">
        <is>
          <t>Berg</t>
        </is>
      </c>
      <c r="I58" t="n">
        <v>48.7</v>
      </c>
      <c r="J58" t="n">
        <v>0</v>
      </c>
      <c r="K58" t="n">
        <v>0</v>
      </c>
      <c r="L58" t="n">
        <v>0</v>
      </c>
      <c r="M58" t="n">
        <v>0</v>
      </c>
      <c r="N58" t="n">
        <v>0</v>
      </c>
      <c r="O58" t="n">
        <v>0</v>
      </c>
      <c r="P58" t="n">
        <v>0</v>
      </c>
      <c r="Q58" t="n">
        <v>0</v>
      </c>
      <c r="R58" t="n">
        <v>0</v>
      </c>
      <c r="S58" t="n">
        <v>0</v>
      </c>
      <c r="T58" t="n">
        <v>0</v>
      </c>
      <c r="U58" s="2" t="inlineStr"/>
      <c r="AE58" t="inlineStr">
        <is>
          <t>Sveaskog</t>
        </is>
      </c>
      <c r="AF58" t="inlineStr">
        <is>
          <t>Nej</t>
        </is>
      </c>
      <c r="AH58" t="inlineStr">
        <is>
          <t>Ser bra ut, stor andel NB</t>
        </is>
      </c>
      <c r="AI58" t="inlineStr">
        <is>
          <t>Låg påverkan</t>
        </is>
      </c>
      <c r="AJ58" t="inlineStr">
        <is>
          <t>Ja</t>
        </is>
      </c>
      <c r="AK58" t="n">
        <v>2</v>
      </c>
      <c r="AL58" t="n">
        <v/>
      </c>
    </row>
    <row r="59" ht="15" customHeight="1">
      <c r="A59" t="inlineStr">
        <is>
          <t>Getåsen S</t>
        </is>
      </c>
      <c r="B59" t="inlineStr">
        <is>
          <t>avverkningsanmälan</t>
        </is>
      </c>
      <c r="D59" s="1" t="n">
        <v>46223</v>
      </c>
      <c r="E59" s="1" t="n">
        <v>46223</v>
      </c>
      <c r="F59" t="inlineStr">
        <is>
          <t>Jämtlands län</t>
        </is>
      </c>
      <c r="G59" t="inlineStr">
        <is>
          <t>Berg</t>
        </is>
      </c>
      <c r="I59" t="n">
        <v>49.9</v>
      </c>
      <c r="J59" t="n">
        <v>0</v>
      </c>
      <c r="K59" t="n">
        <v>0</v>
      </c>
      <c r="L59" t="n">
        <v>0</v>
      </c>
      <c r="M59" t="n">
        <v>0</v>
      </c>
      <c r="N59" t="n">
        <v>0</v>
      </c>
      <c r="O59" t="n">
        <v>0</v>
      </c>
      <c r="P59" t="n">
        <v>0</v>
      </c>
      <c r="Q59" t="n">
        <v>0</v>
      </c>
      <c r="R59" t="n">
        <v>0</v>
      </c>
      <c r="S59" t="n">
        <v>0</v>
      </c>
      <c r="T59" t="n">
        <v>0</v>
      </c>
      <c r="U59" s="2" t="inlineStr"/>
      <c r="AE59" t="inlineStr">
        <is>
          <t>SCA</t>
        </is>
      </c>
      <c r="AF59" t="inlineStr">
        <is>
          <t>Stora avv-anm över hela</t>
        </is>
      </c>
      <c r="AH59" t="inlineStr">
        <is>
          <t>Ser inte bra ut</t>
        </is>
      </c>
      <c r="AI59" t="inlineStr">
        <is>
          <t>Hög påverkan</t>
        </is>
      </c>
      <c r="AJ59" t="inlineStr">
        <is>
          <t>Ja</t>
        </is>
      </c>
      <c r="AK59" t="n">
        <v>2</v>
      </c>
      <c r="AL59" t="n">
        <v/>
      </c>
    </row>
    <row r="60">
      <c r="A60" t="inlineStr">
        <is>
          <t>Forsensbrännan</t>
        </is>
      </c>
      <c r="B60" t="inlineStr">
        <is>
          <t>avverkningsanmälan</t>
        </is>
      </c>
      <c r="D60" s="1" t="n">
        <v>46223</v>
      </c>
      <c r="E60" s="1" t="n">
        <v>46223</v>
      </c>
      <c r="F60" t="inlineStr">
        <is>
          <t>Jämtlands län</t>
        </is>
      </c>
      <c r="G60" t="inlineStr">
        <is>
          <t>Berg</t>
        </is>
      </c>
      <c r="I60" t="n">
        <v>25.2</v>
      </c>
      <c r="J60" t="n">
        <v>0</v>
      </c>
      <c r="K60" t="n">
        <v>0</v>
      </c>
      <c r="L60" t="n">
        <v>0</v>
      </c>
      <c r="M60" t="n">
        <v>0</v>
      </c>
      <c r="N60" t="n">
        <v>0</v>
      </c>
      <c r="O60" t="n">
        <v>0</v>
      </c>
      <c r="P60" t="n">
        <v>0</v>
      </c>
      <c r="Q60" t="n">
        <v>0</v>
      </c>
      <c r="R60" t="n">
        <v>0</v>
      </c>
      <c r="S60" t="n">
        <v>0</v>
      </c>
      <c r="T60" t="n">
        <v>0</v>
      </c>
      <c r="U60" s="2" t="inlineStr"/>
      <c r="AE60" t="inlineStr">
        <is>
          <t>Holmen</t>
        </is>
      </c>
      <c r="AF60" t="inlineStr">
        <is>
          <t>Nej</t>
        </is>
      </c>
      <c r="AH60" t="inlineStr">
        <is>
          <t>Sandtallskog, ser bra ut!</t>
        </is>
      </c>
      <c r="AI60" t="inlineStr">
        <is>
          <t>Måttlig påverkan</t>
        </is>
      </c>
      <c r="AJ60" t="inlineStr">
        <is>
          <t>Ja</t>
        </is>
      </c>
      <c r="AK60" t="n">
        <v>2</v>
      </c>
      <c r="AL60" t="inlineStr">
        <is>
          <t>Helt ok sandtallskog, inget mer
V3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2026-07-20T07:17:03Z</dcterms:created>
  <dcterms:modified xmlns:dcterms="http://purl.org/dc/terms/" xmlns:xsi="http://www.w3.org/2001/XMLSchema-instance" xsi:type="dcterms:W3CDTF">2026-07-20T07:17:03Z</dcterms:modified>
</cp:coreProperties>
</file>