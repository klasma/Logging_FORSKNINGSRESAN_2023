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L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Ägare</t>
        </is>
      </c>
      <c r="AF1" t="inlineStr">
        <is>
          <t>Avv</t>
        </is>
      </c>
      <c r="AG1" t="inlineStr">
        <is>
          <t>Avsatt</t>
        </is>
      </c>
      <c r="AH1" t="inlineStr">
        <is>
          <t>Kommentar</t>
        </is>
      </c>
      <c r="AI1" t="inlineStr">
        <is>
          <t>Påverkan</t>
        </is>
      </c>
      <c r="AJ1" t="inlineStr">
        <is>
          <t>Granskad</t>
        </is>
      </c>
      <c r="AK1" t="inlineStr">
        <is>
          <t>Prio</t>
        </is>
      </c>
      <c r="AL1" t="inlineStr">
        <is>
          <t>Typ</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c r="AE2" t="inlineStr">
        <is>
          <t>Kyrkan + SCA</t>
        </is>
      </c>
      <c r="AF2" t="inlineStr">
        <is>
          <t>Endast lite i N</t>
        </is>
      </c>
      <c r="AG2" t="inlineStr">
        <is>
          <t>Ja</t>
        </is>
      </c>
      <c r="AH2" t="inlineStr">
        <is>
          <t>LST Jämtland positiva till inv av detta område</t>
        </is>
      </c>
      <c r="AI2" t="inlineStr">
        <is>
          <t>Troligen ganska låg</t>
        </is>
      </c>
      <c r="AJ2" t="inlineStr">
        <is>
          <t>Ja</t>
        </is>
      </c>
      <c r="AK2" t="n">
        <v>1</v>
      </c>
      <c r="AL2" t="n">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c r="AE3" t="inlineStr">
        <is>
          <t>SCA</t>
        </is>
      </c>
      <c r="AF3" t="inlineStr">
        <is>
          <t>Stora avv i V och S</t>
        </is>
      </c>
      <c r="AG3" t="n">
        <v/>
      </c>
      <c r="AH3" t="inlineStr">
        <is>
          <t>Ställvis gallrat, men troligtvis åtminstone delar fin stava</t>
        </is>
      </c>
      <c r="AI3" t="inlineStr">
        <is>
          <t>Måttlig</t>
        </is>
      </c>
      <c r="AJ3" t="inlineStr">
        <is>
          <t>Ja</t>
        </is>
      </c>
      <c r="AK3" t="n">
        <v>1</v>
      </c>
      <c r="AL3" t="inlineStr">
        <is>
          <t>Örasjöberget sydligaste området
Genomgallrad tallnaturskog
fler artfynd, bör inventeras
Gammeltallar och silverved</t>
        </is>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c r="AE4" t="inlineStr">
        <is>
          <t>SCA</t>
        </is>
      </c>
      <c r="AF4" t="inlineStr">
        <is>
          <t>Nej</t>
        </is>
      </c>
      <c r="AG4" t="n">
        <v/>
      </c>
      <c r="AH4" t="inlineStr">
        <is>
          <t>Ser bra ut</t>
        </is>
      </c>
      <c r="AI4" t="inlineStr">
        <is>
          <t>Stor påverkan centralt, annars ganska låg</t>
        </is>
      </c>
      <c r="AJ4" t="inlineStr">
        <is>
          <t>Ja</t>
        </is>
      </c>
      <c r="AK4" t="n">
        <v>2</v>
      </c>
      <c r="AL4" t="n">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HYPERLINK("https://klasma.github.io/Logging_FORSKNINGSRESAN_2023/kartor_geotiff/Horten Sultentjärnen georefererad karta.tif", "Horten Sultentjärnen")</f>
        <v/>
      </c>
      <c r="Y5">
        <f>HYPERLINK("https://klasma.github.io/Logging_FORSKNINGSRESAN_2023/knärot/Horten Sultentjärnen karta knärot.png", "Horten Sultentjärnen")</f>
        <v/>
      </c>
      <c r="Z5">
        <f>HYPERLINK("https://klasma.github.io/Logging_FORSKNINGSRESAN_2023/klagomål/Horten Sultentjärnen FSC-klagomål.docx", "Horten Sultentjärnen")</f>
        <v/>
      </c>
      <c r="AA5">
        <f>HYPERLINK("https://klasma.github.io/Logging_FORSKNINGSRESAN_2023/klagomålsmail/Horten Sultentjärnen FSC-klagomål mail.docx", "Horten Sultentjärnen")</f>
        <v/>
      </c>
      <c r="AB5">
        <f>HYPERLINK("https://klasma.github.io/Logging_FORSKNINGSRESAN_2023/tillsyn/Horten Sultentjärnen tillsynsbegäran.docx", "Horten Sultentjärnen")</f>
        <v/>
      </c>
      <c r="AC5">
        <f>HYPERLINK("https://klasma.github.io/Logging_FORSKNINGSRESAN_2023/tillsynsmail/Horten Sultentjärnen tillsynsbegäran mail.docx", "Horten Sultentjärnen")</f>
        <v/>
      </c>
      <c r="AD5">
        <f>HYPERLINK("https://klasma.github.io/Logging_FORSKNINGSRESAN_2023/fåglar/Horten Sultentjärnen prioriterade fågelarter.docx", "Horten Sultentjärnen")</f>
        <v/>
      </c>
      <c r="AE5" t="inlineStr">
        <is>
          <t>SCA</t>
        </is>
      </c>
      <c r="AF5" t="inlineStr">
        <is>
          <t>Flera stora avv</t>
        </is>
      </c>
      <c r="AG5" t="inlineStr">
        <is>
          <t>Delvis</t>
        </is>
      </c>
      <c r="AH5" t="inlineStr">
        <is>
          <t>Ser riktigt bra ut!</t>
        </is>
      </c>
      <c r="AI5" t="inlineStr">
        <is>
          <t>Låg</t>
        </is>
      </c>
      <c r="AJ5" t="inlineStr">
        <is>
          <t>Ja</t>
        </is>
      </c>
      <c r="AK5" t="n">
        <v>1</v>
      </c>
      <c r="AL5" t="n">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HYPERLINK("https://klasma.github.io/Logging_FORSKNINGSRESAN_2023/kartor_geotiff/Hundtjärnbrännan georefererad karta.tif", "Hundtjärnbrännan")</f>
        <v/>
      </c>
      <c r="Y6">
        <f>HYPERLINK("https://klasma.github.io/Logging_FORSKNINGSRESAN_2023/knärot/Hundtjärnbrännan karta knärot.png", "Hundtjärnbrännan")</f>
        <v/>
      </c>
      <c r="Z6">
        <f>HYPERLINK("https://klasma.github.io/Logging_FORSKNINGSRESAN_2023/klagomål/Hundtjärnbrännan FSC-klagomål.docx", "Hundtjärnbrännan")</f>
        <v/>
      </c>
      <c r="AA6">
        <f>HYPERLINK("https://klasma.github.io/Logging_FORSKNINGSRESAN_2023/klagomålsmail/Hundtjärnbrännan FSC-klagomål mail.docx", "Hundtjärnbrännan")</f>
        <v/>
      </c>
      <c r="AB6">
        <f>HYPERLINK("https://klasma.github.io/Logging_FORSKNINGSRESAN_2023/tillsyn/Hundtjärnbrännan tillsynsbegäran.docx", "Hundtjärnbrännan")</f>
        <v/>
      </c>
      <c r="AC6">
        <f>HYPERLINK("https://klasma.github.io/Logging_FORSKNINGSRESAN_2023/tillsynsmail/Hundtjärnbrännan tillsynsbegäran mail.docx", "Hundtjärnbrännan")</f>
        <v/>
      </c>
      <c r="AD6">
        <f>HYPERLINK("https://klasma.github.io/Logging_FORSKNINGSRESAN_2023/fåglar/Hundtjärnbrännan prioriterade fågelarter.docx", "Hundtjärnbrännan")</f>
        <v/>
      </c>
      <c r="AE6" t="inlineStr">
        <is>
          <t>Sveaskog</t>
        </is>
      </c>
      <c r="AF6" t="inlineStr">
        <is>
          <t>Stor avv i O</t>
        </is>
      </c>
      <c r="AG6" t="n">
        <v/>
      </c>
      <c r="AH6" t="inlineStr">
        <is>
          <t>Mycket lovande, gränsar till två reservat</t>
        </is>
      </c>
      <c r="AI6" t="inlineStr">
        <is>
          <t>Troligen medelpåverkan</t>
        </is>
      </c>
      <c r="AJ6" t="inlineStr">
        <is>
          <t>Ja</t>
        </is>
      </c>
      <c r="AK6" t="n">
        <v>1</v>
      </c>
      <c r="AL6" t="inlineStr">
        <is>
          <t>Lst Vst: Har rätt bra koll på detta omr</t>
        </is>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HYPERLINK("https://klasma.github.io/Logging_FORSKNINGSRESAN_2023/kartor_geotiff/Länken Vitalmen georefererad karta.tif", "Länken Vitalmen")</f>
        <v/>
      </c>
      <c r="Y7">
        <f>HYPERLINK("https://klasma.github.io/Logging_FORSKNINGSRESAN_2023/knärot/Länken Vitalmen karta knärot.png", "Länken Vitalmen")</f>
        <v/>
      </c>
      <c r="Z7">
        <f>HYPERLINK("https://klasma.github.io/Logging_FORSKNINGSRESAN_2023/klagomål/Länken Vitalmen FSC-klagomål.docx", "Länken Vitalmen")</f>
        <v/>
      </c>
      <c r="AA7">
        <f>HYPERLINK("https://klasma.github.io/Logging_FORSKNINGSRESAN_2023/klagomålsmail/Länken Vitalmen FSC-klagomål mail.docx", "Länken Vitalmen")</f>
        <v/>
      </c>
      <c r="AB7">
        <f>HYPERLINK("https://klasma.github.io/Logging_FORSKNINGSRESAN_2023/tillsyn/Länken Vitalmen tillsynsbegäran.docx", "Länken Vitalmen")</f>
        <v/>
      </c>
      <c r="AC7">
        <f>HYPERLINK("https://klasma.github.io/Logging_FORSKNINGSRESAN_2023/tillsynsmail/Länken Vitalmen tillsynsbegäran mail.docx", "Länken Vitalmen")</f>
        <v/>
      </c>
      <c r="AD7">
        <f>HYPERLINK("https://klasma.github.io/Logging_FORSKNINGSRESAN_2023/fåglar/Länken Vitalmen prioriterade fågelarter.docx", "Länken Vitalmen")</f>
        <v/>
      </c>
      <c r="AE7" t="inlineStr">
        <is>
          <t>SCA + kyrkan</t>
        </is>
      </c>
      <c r="AF7" t="inlineStr">
        <is>
          <t>Flera avv</t>
        </is>
      </c>
      <c r="AG7" t="inlineStr">
        <is>
          <t>Liten del av omr</t>
        </is>
      </c>
      <c r="AH7" t="inlineStr">
        <is>
          <t>Ser tätt och bra ut</t>
        </is>
      </c>
      <c r="AI7" t="inlineStr">
        <is>
          <t>Låg</t>
        </is>
      </c>
      <c r="AJ7" t="inlineStr">
        <is>
          <t>Ja</t>
        </is>
      </c>
      <c r="AK7" t="n">
        <v>1</v>
      </c>
      <c r="AL7" t="inlineStr">
        <is>
          <t>I s: Stavatall, 80-100, inga överståndare. Gallrad en gång länge sedan. Sparsamt med död ved.
I N klockrent. U/V3</t>
        </is>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X8">
        <f>HYPERLINK("https://klasma.github.io/Logging_FORSKNINGSRESAN_2023/kartor_geotiff/Gräsmyren georefererad karta.tif", "Gräsmyren")</f>
        <v/>
      </c>
      <c r="Z8">
        <f>HYPERLINK("https://klasma.github.io/Logging_FORSKNINGSRESAN_2023/klagomål/Gräsmyren FSC-klagomål.docx", "Gräsmyren")</f>
        <v/>
      </c>
      <c r="AA8">
        <f>HYPERLINK("https://klasma.github.io/Logging_FORSKNINGSRESAN_2023/klagomålsmail/Gräsmyren FSC-klagomål mail.docx", "Gräsmyren")</f>
        <v/>
      </c>
      <c r="AB8">
        <f>HYPERLINK("https://klasma.github.io/Logging_FORSKNINGSRESAN_2023/tillsyn/Gräsmyren tillsynsbegäran.docx", "Gräsmyren")</f>
        <v/>
      </c>
      <c r="AC8">
        <f>HYPERLINK("https://klasma.github.io/Logging_FORSKNINGSRESAN_2023/tillsynsmail/Gräsmyren tillsynsbegäran mail.docx", "Gräsmyren")</f>
        <v/>
      </c>
      <c r="AE8" t="inlineStr">
        <is>
          <t>SCA</t>
        </is>
      </c>
      <c r="AF8" t="inlineStr">
        <is>
          <t>Nej</t>
        </is>
      </c>
      <c r="AG8" t="n">
        <v/>
      </c>
      <c r="AH8" t="inlineStr">
        <is>
          <t>Sluttande myrmosaik? Måttligt påverkat av dikning?</t>
        </is>
      </c>
      <c r="AI8" t="inlineStr">
        <is>
          <t>Måttlig påverkan</t>
        </is>
      </c>
      <c r="AJ8" t="inlineStr">
        <is>
          <t>Ja</t>
        </is>
      </c>
      <c r="AK8" t="n">
        <v>1</v>
      </c>
      <c r="AL8" t="n">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HYPERLINK("https://klasma.github.io/Logging_FORSKNINGSRESAN_2023/kartor_geotiff/Floarna georefererad karta.tif", "Floarna")</f>
        <v/>
      </c>
      <c r="Y9">
        <f>HYPERLINK("https://klasma.github.io/Logging_FORSKNINGSRESAN_2023/knärot/Floarna karta knärot.png", "Floarna")</f>
        <v/>
      </c>
      <c r="Z9">
        <f>HYPERLINK("https://klasma.github.io/Logging_FORSKNINGSRESAN_2023/klagomål/Floarna FSC-klagomål.docx", "Floarna")</f>
        <v/>
      </c>
      <c r="AA9">
        <f>HYPERLINK("https://klasma.github.io/Logging_FORSKNINGSRESAN_2023/klagomålsmail/Floarna FSC-klagomål mail.docx", "Floarna")</f>
        <v/>
      </c>
      <c r="AB9">
        <f>HYPERLINK("https://klasma.github.io/Logging_FORSKNINGSRESAN_2023/tillsyn/Floarna tillsynsbegäran.docx", "Floarna")</f>
        <v/>
      </c>
      <c r="AC9">
        <f>HYPERLINK("https://klasma.github.io/Logging_FORSKNINGSRESAN_2023/tillsynsmail/Floarna tillsynsbegäran mail.docx", "Floarna")</f>
        <v/>
      </c>
      <c r="AD9">
        <f>HYPERLINK("https://klasma.github.io/Logging_FORSKNINGSRESAN_2023/fåglar/Floarna prioriterade fågelarter.docx", "Floarna")</f>
        <v/>
      </c>
      <c r="AE9" t="inlineStr">
        <is>
          <t>SCA</t>
        </is>
      </c>
      <c r="AF9" t="inlineStr">
        <is>
          <t>Ja, mindre i V</t>
        </is>
      </c>
      <c r="AG9" t="n">
        <v/>
      </c>
      <c r="AH9" t="inlineStr">
        <is>
          <t>Måste rekas noggrannt! Svårbedömt. Starkast i S troligen</t>
        </is>
      </c>
      <c r="AI9" t="inlineStr">
        <is>
          <t>Hög påverkan</t>
        </is>
      </c>
      <c r="AJ9" t="inlineStr">
        <is>
          <t>Ja</t>
        </is>
      </c>
      <c r="AK9" t="n">
        <v>1</v>
      </c>
      <c r="AL9" t="inlineStr">
        <is>
          <t>Stavakaraktär, ställvis gallrad
Artfynd. Gammeltallar och silverved</t>
        </is>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HYPERLINK("https://klasma.github.io/Logging_FORSKNINGSRESAN_2023/kartor_geotiff/Juånäset georefererad karta.tif", "Juånäset")</f>
        <v/>
      </c>
      <c r="Y10">
        <f>HYPERLINK("https://klasma.github.io/Logging_FORSKNINGSRESAN_2023/knärot/Juånäset karta knärot.png", "Juånäset")</f>
        <v/>
      </c>
      <c r="Z10">
        <f>HYPERLINK("https://klasma.github.io/Logging_FORSKNINGSRESAN_2023/klagomål/Juånäset FSC-klagomål.docx", "Juånäset")</f>
        <v/>
      </c>
      <c r="AA10">
        <f>HYPERLINK("https://klasma.github.io/Logging_FORSKNINGSRESAN_2023/klagomålsmail/Juånäset FSC-klagomål mail.docx", "Juånäset")</f>
        <v/>
      </c>
      <c r="AB10">
        <f>HYPERLINK("https://klasma.github.io/Logging_FORSKNINGSRESAN_2023/tillsyn/Juånäset tillsynsbegäran.docx", "Juånäset")</f>
        <v/>
      </c>
      <c r="AC10">
        <f>HYPERLINK("https://klasma.github.io/Logging_FORSKNINGSRESAN_2023/tillsynsmail/Juånäset tillsynsbegäran mail.docx", "Juånäset")</f>
        <v/>
      </c>
      <c r="AD10">
        <f>HYPERLINK("https://klasma.github.io/Logging_FORSKNINGSRESAN_2023/fåglar/Juånäset prioriterade fågelarter.docx", "Juånäset")</f>
        <v/>
      </c>
      <c r="AE10" t="inlineStr">
        <is>
          <t>SCA</t>
        </is>
      </c>
      <c r="AF10" t="inlineStr">
        <is>
          <t>Helt avverkningsanmält</t>
        </is>
      </c>
      <c r="AG10" t="n">
        <v/>
      </c>
      <c r="AH10" t="inlineStr">
        <is>
          <t>Ser mycket bra ut</t>
        </is>
      </c>
      <c r="AI10" t="inlineStr">
        <is>
          <t>Låg påverkan</t>
        </is>
      </c>
      <c r="AJ10" t="inlineStr">
        <is>
          <t>Ja</t>
        </is>
      </c>
      <c r="AK10" t="n">
        <v>1</v>
      </c>
      <c r="AL10" t="inlineStr">
        <is>
          <t>Redan inventerat av Basti o Karolin</t>
        </is>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HYPERLINK("https://klasma.github.io/Logging_FORSKNINGSRESAN_2023/kartor_geotiff/Fröbäckstjärnarna georefererad karta.tif", "Fröbäckstjärnarna")</f>
        <v/>
      </c>
      <c r="Y11">
        <f>HYPERLINK("https://klasma.github.io/Logging_FORSKNINGSRESAN_2023/knärot/Fröbäckstjärnarna karta knärot.png", "Fröbäckstjärnarna")</f>
        <v/>
      </c>
      <c r="Z11">
        <f>HYPERLINK("https://klasma.github.io/Logging_FORSKNINGSRESAN_2023/klagomål/Fröbäckstjärnarna FSC-klagomål.docx", "Fröbäckstjärnarna")</f>
        <v/>
      </c>
      <c r="AA11">
        <f>HYPERLINK("https://klasma.github.io/Logging_FORSKNINGSRESAN_2023/klagomålsmail/Fröbäckstjärnarna FSC-klagomål mail.docx", "Fröbäckstjärnarna")</f>
        <v/>
      </c>
      <c r="AB11">
        <f>HYPERLINK("https://klasma.github.io/Logging_FORSKNINGSRESAN_2023/tillsyn/Fröbäckstjärnarna tillsynsbegäran.docx", "Fröbäckstjärnarna")</f>
        <v/>
      </c>
      <c r="AC11">
        <f>HYPERLINK("https://klasma.github.io/Logging_FORSKNINGSRESAN_2023/tillsynsmail/Fröbäckstjärnarna tillsynsbegäran mail.docx", "Fröbäckstjärnarna")</f>
        <v/>
      </c>
      <c r="AD11">
        <f>HYPERLINK("https://klasma.github.io/Logging_FORSKNINGSRESAN_2023/fåglar/Fröbäckstjärnarna prioriterade fågelarter.docx", "Fröbäckstjärnarna")</f>
        <v/>
      </c>
      <c r="AE11" t="inlineStr">
        <is>
          <t>SCA</t>
        </is>
      </c>
      <c r="AF11" t="inlineStr">
        <is>
          <t>Ja, ett par ganska stor</t>
        </is>
      </c>
      <c r="AG11" t="n">
        <v/>
      </c>
      <c r="AH11" t="inlineStr">
        <is>
          <t>Enormt område, mycket svårbedömt, måste rekas noggrannt!!!</t>
        </is>
      </c>
      <c r="AI11" t="inlineStr">
        <is>
          <t>Troligen hög</t>
        </is>
      </c>
      <c r="AJ11" t="inlineStr">
        <is>
          <t>Ja</t>
        </is>
      </c>
      <c r="AK11" t="n">
        <v>1</v>
      </c>
      <c r="AL11" t="inlineStr">
        <is>
          <t>Märrviksbodarna (Basti): Produktiva tallskogar, ofta genomgallrade
Granskogsområden ser fina ut.</t>
        </is>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HYPERLINK("https://klasma.github.io/Logging_FORSKNINGSRESAN_2023/kartor_geotiff/Bodsjön georefererad karta.tif", "Bodsjön")</f>
        <v/>
      </c>
      <c r="Y12">
        <f>HYPERLINK("https://klasma.github.io/Logging_FORSKNINGSRESAN_2023/knärot/Bodsjön karta knärot.png", "Bodsjön")</f>
        <v/>
      </c>
      <c r="Z12">
        <f>HYPERLINK("https://klasma.github.io/Logging_FORSKNINGSRESAN_2023/klagomål/Bodsjön FSC-klagomål.docx", "Bodsjön")</f>
        <v/>
      </c>
      <c r="AA12">
        <f>HYPERLINK("https://klasma.github.io/Logging_FORSKNINGSRESAN_2023/klagomålsmail/Bodsjön FSC-klagomål mail.docx", "Bodsjön")</f>
        <v/>
      </c>
      <c r="AB12">
        <f>HYPERLINK("https://klasma.github.io/Logging_FORSKNINGSRESAN_2023/tillsyn/Bodsjön tillsynsbegäran.docx", "Bodsjön")</f>
        <v/>
      </c>
      <c r="AC12">
        <f>HYPERLINK("https://klasma.github.io/Logging_FORSKNINGSRESAN_2023/tillsynsmail/Bodsjön tillsynsbegäran mail.docx", "Bodsjön")</f>
        <v/>
      </c>
      <c r="AD12">
        <f>HYPERLINK("https://klasma.github.io/Logging_FORSKNINGSRESAN_2023/fåglar/Bodsjön prioriterade fågelarter.docx", "Bodsjön")</f>
        <v/>
      </c>
      <c r="AE12" t="inlineStr">
        <is>
          <t>SCA</t>
        </is>
      </c>
      <c r="AF12" t="inlineStr">
        <is>
          <t>Hela N halvan avv</t>
        </is>
      </c>
      <c r="AG12" t="inlineStr">
        <is>
          <t>Delvis</t>
        </is>
      </c>
      <c r="AH12" t="inlineStr">
        <is>
          <t>Hårt påverkat, men ser bra ut</t>
        </is>
      </c>
      <c r="AI12" t="inlineStr">
        <is>
          <t>Hög påverkan</t>
        </is>
      </c>
      <c r="AJ12" t="inlineStr">
        <is>
          <t>Ja</t>
        </is>
      </c>
      <c r="AK12" t="n">
        <v>1</v>
      </c>
      <c r="AL12" t="inlineStr">
        <is>
          <t>Lst: skogen väster därom inventerades av lst 2004 och bedömdes som lägre naturvärden</t>
        </is>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HYPERLINK("https://klasma.github.io/Logging_FORSKNINGSRESAN_2023/kartor_geotiff/Holmnäset georefererad karta.tif", "Holmnäset")</f>
        <v/>
      </c>
      <c r="Y13">
        <f>HYPERLINK("https://klasma.github.io/Logging_FORSKNINGSRESAN_2023/knärot/Holmnäset karta knärot.png", "Holmnäset")</f>
        <v/>
      </c>
      <c r="Z13">
        <f>HYPERLINK("https://klasma.github.io/Logging_FORSKNINGSRESAN_2023/klagomål/Holmnäset FSC-klagomål.docx", "Holmnäset")</f>
        <v/>
      </c>
      <c r="AA13">
        <f>HYPERLINK("https://klasma.github.io/Logging_FORSKNINGSRESAN_2023/klagomålsmail/Holmnäset FSC-klagomål mail.docx", "Holmnäset")</f>
        <v/>
      </c>
      <c r="AB13">
        <f>HYPERLINK("https://klasma.github.io/Logging_FORSKNINGSRESAN_2023/tillsyn/Holmnäset tillsynsbegäran.docx", "Holmnäset")</f>
        <v/>
      </c>
      <c r="AC13">
        <f>HYPERLINK("https://klasma.github.io/Logging_FORSKNINGSRESAN_2023/tillsynsmail/Holmnäset tillsynsbegäran mail.docx", "Holmnäset")</f>
        <v/>
      </c>
      <c r="AE13" t="inlineStr">
        <is>
          <t>SCA</t>
        </is>
      </c>
      <c r="AF13" t="inlineStr">
        <is>
          <t>Enorm avverkningsanmälan</t>
        </is>
      </c>
      <c r="AG13" t="n">
        <v/>
      </c>
      <c r="AH13" t="inlineStr">
        <is>
          <t>Ser ut att vara stavatall</t>
        </is>
      </c>
      <c r="AI13" t="inlineStr">
        <is>
          <t>Låg, kanske något gallrad</t>
        </is>
      </c>
      <c r="AJ13" t="inlineStr">
        <is>
          <t>Ja</t>
        </is>
      </c>
      <c r="AK13" t="n">
        <v>1</v>
      </c>
      <c r="AL13" t="inlineStr">
        <is>
          <t>Redan inventerat av Basti o Karolin</t>
        </is>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HYPERLINK("https://klasma.github.io/Logging_FORSKNINGSRESAN_2023/kartor_geotiff/Staverberget SCA georefererad karta.tif", "Staverberget SCA")</f>
        <v/>
      </c>
      <c r="Y14">
        <f>HYPERLINK("https://klasma.github.io/Logging_FORSKNINGSRESAN_2023/knärot/Staverberget SCA karta knärot.png", "Staverberget SCA")</f>
        <v/>
      </c>
      <c r="Z14">
        <f>HYPERLINK("https://klasma.github.io/Logging_FORSKNINGSRESAN_2023/klagomål/Staverberget SCA FSC-klagomål.docx", "Staverberget SCA")</f>
        <v/>
      </c>
      <c r="AA14">
        <f>HYPERLINK("https://klasma.github.io/Logging_FORSKNINGSRESAN_2023/klagomålsmail/Staverberget SCA FSC-klagomål mail.docx", "Staverberget SCA")</f>
        <v/>
      </c>
      <c r="AB14">
        <f>HYPERLINK("https://klasma.github.io/Logging_FORSKNINGSRESAN_2023/tillsyn/Staverberget SCA tillsynsbegäran.docx", "Staverberget SCA")</f>
        <v/>
      </c>
      <c r="AC14">
        <f>HYPERLINK("https://klasma.github.io/Logging_FORSKNINGSRESAN_2023/tillsynsmail/Staverberget SCA tillsynsbegäran mail.docx", "Staverberget SCA")</f>
        <v/>
      </c>
      <c r="AD14">
        <f>HYPERLINK("https://klasma.github.io/Logging_FORSKNINGSRESAN_2023/fåglar/Staverberget SCA prioriterade fågelarter.docx", "Staverberget SCA")</f>
        <v/>
      </c>
      <c r="AE14" t="inlineStr">
        <is>
          <t>SCA</t>
        </is>
      </c>
      <c r="AF14" t="inlineStr">
        <is>
          <t>Ja, stor avv centralt</t>
        </is>
      </c>
      <c r="AG14" t="n">
        <v/>
      </c>
      <c r="AH14" t="inlineStr">
        <is>
          <t>Ser bra ut! Gallrat i norr</t>
        </is>
      </c>
      <c r="AI14" t="inlineStr">
        <is>
          <t>Måttlig påverkan</t>
        </is>
      </c>
      <c r="AJ14" t="inlineStr">
        <is>
          <t>Ja</t>
        </is>
      </c>
      <c r="AK14" t="n">
        <v/>
      </c>
      <c r="AL14" t="n">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HYPERLINK("https://klasma.github.io/Logging_FORSKNINGSRESAN_2023/kartor_geotiff/Björnbäcken georefererad karta.tif", "Björnbäcken")</f>
        <v/>
      </c>
      <c r="Y15">
        <f>HYPERLINK("https://klasma.github.io/Logging_FORSKNINGSRESAN_2023/knärot/Björnbäcken karta knärot.png", "Björnbäcken")</f>
        <v/>
      </c>
      <c r="Z15">
        <f>HYPERLINK("https://klasma.github.io/Logging_FORSKNINGSRESAN_2023/klagomål/Björnbäcken FSC-klagomål.docx", "Björnbäcken")</f>
        <v/>
      </c>
      <c r="AA15">
        <f>HYPERLINK("https://klasma.github.io/Logging_FORSKNINGSRESAN_2023/klagomålsmail/Björnbäcken FSC-klagomål mail.docx", "Björnbäcken")</f>
        <v/>
      </c>
      <c r="AB15">
        <f>HYPERLINK("https://klasma.github.io/Logging_FORSKNINGSRESAN_2023/tillsyn/Björnbäcken tillsynsbegäran.docx", "Björnbäcken")</f>
        <v/>
      </c>
      <c r="AC15">
        <f>HYPERLINK("https://klasma.github.io/Logging_FORSKNINGSRESAN_2023/tillsynsmail/Björnbäcken tillsynsbegäran mail.docx", "Björnbäcken")</f>
        <v/>
      </c>
      <c r="AD15">
        <f>HYPERLINK("https://klasma.github.io/Logging_FORSKNINGSRESAN_2023/fåglar/Björnbäcken prioriterade fågelarter.docx", "Björnbäcken")</f>
        <v/>
      </c>
      <c r="AE15" t="inlineStr">
        <is>
          <t>SCA + privat i SV</t>
        </is>
      </c>
      <c r="AF15" t="inlineStr">
        <is>
          <t>Ja, i N</t>
        </is>
      </c>
      <c r="AG15" t="n">
        <v/>
      </c>
      <c r="AH15" t="inlineStr">
        <is>
          <t>Ser bra ut, lövrik granskog?</t>
        </is>
      </c>
      <c r="AI15" t="inlineStr">
        <is>
          <t>Låg</t>
        </is>
      </c>
      <c r="AJ15" t="inlineStr">
        <is>
          <t>Ja</t>
        </is>
      </c>
      <c r="AK15" t="n">
        <v>1</v>
      </c>
      <c r="AL15" t="inlineStr">
        <is>
          <t>a: Blndsumpskog, hänglavrik. Senvuxna granar och spridd död ved. Tretåig hackspett. Gammelskog. b: lövrik granskog ca 80-100år. Orörd, kolvedshuggning. Örtrik. Spridda gammalgranar</t>
        </is>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HYPERLINK("https://klasma.github.io/Logging_FORSKNINGSRESAN_2023/kartor_geotiff/Börsåsen N georefererad karta.tif", "Börsåsen N")</f>
        <v/>
      </c>
      <c r="Y16">
        <f>HYPERLINK("https://klasma.github.io/Logging_FORSKNINGSRESAN_2023/knärot/Börsåsen N karta knärot.png", "Börsåsen N")</f>
        <v/>
      </c>
      <c r="Z16">
        <f>HYPERLINK("https://klasma.github.io/Logging_FORSKNINGSRESAN_2023/klagomål/Börsåsen N FSC-klagomål.docx", "Börsåsen N")</f>
        <v/>
      </c>
      <c r="AA16">
        <f>HYPERLINK("https://klasma.github.io/Logging_FORSKNINGSRESAN_2023/klagomålsmail/Börsåsen N FSC-klagomål mail.docx", "Börsåsen N")</f>
        <v/>
      </c>
      <c r="AB16">
        <f>HYPERLINK("https://klasma.github.io/Logging_FORSKNINGSRESAN_2023/tillsyn/Börsåsen N tillsynsbegäran.docx", "Börsåsen N")</f>
        <v/>
      </c>
      <c r="AC16">
        <f>HYPERLINK("https://klasma.github.io/Logging_FORSKNINGSRESAN_2023/tillsynsmail/Börsåsen N tillsynsbegäran mail.docx", "Börsåsen N")</f>
        <v/>
      </c>
      <c r="AE16" t="inlineStr">
        <is>
          <t>SCA</t>
        </is>
      </c>
      <c r="AF16" t="inlineStr">
        <is>
          <t>Avv i NV</t>
        </is>
      </c>
      <c r="AG16" t="n">
        <v/>
      </c>
      <c r="AH16" t="inlineStr">
        <is>
          <t>Svårbedömt. Ställvis gallrat, ställvis kontinuitetsbrutet? Kan vara fin stava också. Gränsar mot nya Hortesreservatet.</t>
        </is>
      </c>
      <c r="AI16" t="inlineStr">
        <is>
          <t>Måttlig?</t>
        </is>
      </c>
      <c r="AJ16" t="inlineStr">
        <is>
          <t>Ja</t>
        </is>
      </c>
      <c r="AK16" t="n">
        <v>1</v>
      </c>
      <c r="AL16" t="inlineStr">
        <is>
          <t>(sämre väg med högre vegetation)
Produktiv, lövrik granskog.
Stort aspinslag mkt död ved. Knärot, ögonpyrol, torta, Lunglav, korallblylav, vedtrappmossa</t>
        </is>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X17">
        <f>HYPERLINK("https://klasma.github.io/Logging_FORSKNINGSRESAN_2023/kartor_geotiff/Kilkojan georefererad karta.tif", "Kilkojan")</f>
        <v/>
      </c>
      <c r="Z17">
        <f>HYPERLINK("https://klasma.github.io/Logging_FORSKNINGSRESAN_2023/klagomål/Kilkojan FSC-klagomål.docx", "Kilkojan")</f>
        <v/>
      </c>
      <c r="AA17">
        <f>HYPERLINK("https://klasma.github.io/Logging_FORSKNINGSRESAN_2023/klagomålsmail/Kilkojan FSC-klagomål mail.docx", "Kilkojan")</f>
        <v/>
      </c>
      <c r="AB17">
        <f>HYPERLINK("https://klasma.github.io/Logging_FORSKNINGSRESAN_2023/tillsyn/Kilkojan tillsynsbegäran.docx", "Kilkojan")</f>
        <v/>
      </c>
      <c r="AC17">
        <f>HYPERLINK("https://klasma.github.io/Logging_FORSKNINGSRESAN_2023/tillsynsmail/Kilkojan tillsynsbegäran mail.docx", "Kilkojan")</f>
        <v/>
      </c>
      <c r="AD17">
        <f>HYPERLINK("https://klasma.github.io/Logging_FORSKNINGSRESAN_2023/fåglar/Kilkojan prioriterade fågelarter.docx", "Kilkojan")</f>
        <v/>
      </c>
      <c r="AE17" t="inlineStr">
        <is>
          <t>SCA</t>
        </is>
      </c>
      <c r="AF17" t="inlineStr">
        <is>
          <t>Nej</t>
        </is>
      </c>
      <c r="AG17" t="n">
        <v/>
      </c>
      <c r="AH17" t="inlineStr">
        <is>
          <t>Ser bra ut!!!</t>
        </is>
      </c>
      <c r="AI17" t="inlineStr">
        <is>
          <t>Låg påverkan</t>
        </is>
      </c>
      <c r="AJ17" t="inlineStr">
        <is>
          <t>Ja</t>
        </is>
      </c>
      <c r="AK17" t="n">
        <v>1</v>
      </c>
      <c r="AL17" t="inlineStr">
        <is>
          <t>Sista biten av vägen S dålig, parkera en bit ner
S: Ca 150-årig skog föryngrad efter brand. Få äldre tallar. Lövet utgånget? Allmänt med färsk ved, sparsamt med kelo. Rikt på garnlav.</t>
        </is>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HYPERLINK("https://klasma.github.io/Logging_FORSKNINGSRESAN_2023/kartor_geotiff/Kölavallhöjden georefererad karta.tif", "Kölavallhöjden")</f>
        <v/>
      </c>
      <c r="Y18">
        <f>HYPERLINK("https://klasma.github.io/Logging_FORSKNINGSRESAN_2023/knärot/Kölavallhöjden karta knärot.png", "Kölavallhöjden")</f>
        <v/>
      </c>
      <c r="Z18">
        <f>HYPERLINK("https://klasma.github.io/Logging_FORSKNINGSRESAN_2023/klagomål/Kölavallhöjden FSC-klagomål.docx", "Kölavallhöjden")</f>
        <v/>
      </c>
      <c r="AA18">
        <f>HYPERLINK("https://klasma.github.io/Logging_FORSKNINGSRESAN_2023/klagomålsmail/Kölavallhöjden FSC-klagomål mail.docx", "Kölavallhöjden")</f>
        <v/>
      </c>
      <c r="AB18">
        <f>HYPERLINK("https://klasma.github.io/Logging_FORSKNINGSRESAN_2023/tillsyn/Kölavallhöjden tillsynsbegäran.docx", "Kölavallhöjden")</f>
        <v/>
      </c>
      <c r="AC18">
        <f>HYPERLINK("https://klasma.github.io/Logging_FORSKNINGSRESAN_2023/tillsynsmail/Kölavallhöjden tillsynsbegäran mail.docx", "Kölavallhöjden")</f>
        <v/>
      </c>
      <c r="AD18">
        <f>HYPERLINK("https://klasma.github.io/Logging_FORSKNINGSRESAN_2023/fåglar/Kölavallhöjden prioriterade fågelarter.docx", "Kölavallhöjden")</f>
        <v/>
      </c>
      <c r="AE18" t="inlineStr">
        <is>
          <t>SCA</t>
        </is>
      </c>
      <c r="AF18" t="inlineStr">
        <is>
          <t>Nej</t>
        </is>
      </c>
      <c r="AG18" t="inlineStr">
        <is>
          <t>Ja</t>
        </is>
      </c>
      <c r="AH18" t="inlineStr">
        <is>
          <t>Ser mycket bra ut</t>
        </is>
      </c>
      <c r="AI18" t="inlineStr">
        <is>
          <t>Låg påverkan</t>
        </is>
      </c>
      <c r="AJ18" t="inlineStr">
        <is>
          <t>Ja</t>
        </is>
      </c>
      <c r="AK18" t="n">
        <v>1</v>
      </c>
      <c r="AL18" t="inlineStr">
        <is>
          <t>Lst: avsättning hos SCA</t>
        </is>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HYPERLINK("https://klasma.github.io/Logging_FORSKNINGSRESAN_2023/kartor_geotiff/Trollkärringberget georefererad karta.tif", "Trollkärringberget")</f>
        <v/>
      </c>
      <c r="Y19">
        <f>HYPERLINK("https://klasma.github.io/Logging_FORSKNINGSRESAN_2023/knärot/Trollkärringberget karta knärot.png", "Trollkärringberget")</f>
        <v/>
      </c>
      <c r="Z19">
        <f>HYPERLINK("https://klasma.github.io/Logging_FORSKNINGSRESAN_2023/klagomål/Trollkärringberget FSC-klagomål.docx", "Trollkärringberget")</f>
        <v/>
      </c>
      <c r="AA19">
        <f>HYPERLINK("https://klasma.github.io/Logging_FORSKNINGSRESAN_2023/klagomålsmail/Trollkärringberget FSC-klagomål mail.docx", "Trollkärringberget")</f>
        <v/>
      </c>
      <c r="AB19">
        <f>HYPERLINK("https://klasma.github.io/Logging_FORSKNINGSRESAN_2023/tillsyn/Trollkärringberget tillsynsbegäran.docx", "Trollkärringberget")</f>
        <v/>
      </c>
      <c r="AC19">
        <f>HYPERLINK("https://klasma.github.io/Logging_FORSKNINGSRESAN_2023/tillsynsmail/Trollkärringberget tillsynsbegäran mail.docx", "Trollkärringberget")</f>
        <v/>
      </c>
      <c r="AE19" t="inlineStr">
        <is>
          <t>SCA + privat i SV</t>
        </is>
      </c>
      <c r="AF19" t="inlineStr">
        <is>
          <t>Ja, i N</t>
        </is>
      </c>
      <c r="AG19" t="n">
        <v/>
      </c>
      <c r="AH19" t="inlineStr">
        <is>
          <t>Ser bra ut, lövrik granskog?</t>
        </is>
      </c>
      <c r="AI19" t="inlineStr">
        <is>
          <t>Låg</t>
        </is>
      </c>
      <c r="AJ19" t="inlineStr">
        <is>
          <t>Ja</t>
        </is>
      </c>
      <c r="AK19" t="n">
        <v>1</v>
      </c>
      <c r="AL19" t="inlineStr">
        <is>
          <t>a: Blndsumpskog, hänglavrik. Senvuxna granar och spridd död ved. Tretåig hackspett. Gammelskog. b: lövrik granskog ca 80-100år. Orörd, kolvedshuggning. Örtrik. Spridda gammalgranar</t>
        </is>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X20">
        <f>HYPERLINK("https://klasma.github.io/Logging_FORSKNINGSRESAN_2023/kartor_geotiff/Nils-Andersknulen N georefererad karta.tif", "Nils-Andersknulen N")</f>
        <v/>
      </c>
      <c r="Z20">
        <f>HYPERLINK("https://klasma.github.io/Logging_FORSKNINGSRESAN_2023/klagomål/Nils-Andersknulen N FSC-klagomål.docx", "Nils-Andersknulen N")</f>
        <v/>
      </c>
      <c r="AA20">
        <f>HYPERLINK("https://klasma.github.io/Logging_FORSKNINGSRESAN_2023/klagomålsmail/Nils-Andersknulen N FSC-klagomål mail.docx", "Nils-Andersknulen N")</f>
        <v/>
      </c>
      <c r="AB20">
        <f>HYPERLINK("https://klasma.github.io/Logging_FORSKNINGSRESAN_2023/tillsyn/Nils-Andersknulen N tillsynsbegäran.docx", "Nils-Andersknulen N")</f>
        <v/>
      </c>
      <c r="AC20">
        <f>HYPERLINK("https://klasma.github.io/Logging_FORSKNINGSRESAN_2023/tillsynsmail/Nils-Andersknulen N tillsynsbegäran mail.docx", "Nils-Andersknulen N")</f>
        <v/>
      </c>
      <c r="AD20">
        <f>HYPERLINK("https://klasma.github.io/Logging_FORSKNINGSRESAN_2023/fåglar/Nils-Andersknulen N prioriterade fågelarter.docx", "Nils-Andersknulen N")</f>
        <v/>
      </c>
      <c r="AE20" t="inlineStr">
        <is>
          <t>SCA</t>
        </is>
      </c>
      <c r="AF20" t="inlineStr">
        <is>
          <t>Flera avv</t>
        </is>
      </c>
      <c r="AG20" t="n">
        <v/>
      </c>
      <c r="AH20" t="inlineStr">
        <is>
          <t>Ser bra ut. Synd på vindkraftverken.</t>
        </is>
      </c>
      <c r="AI20" t="inlineStr">
        <is>
          <t>Låg påverkan</t>
        </is>
      </c>
      <c r="AJ20" t="inlineStr">
        <is>
          <t>Ja</t>
        </is>
      </c>
      <c r="AK20" t="n">
        <v>1</v>
      </c>
      <c r="AL20" t="n">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HYPERLINK("https://klasma.github.io/Logging_FORSKNINGSRESAN_2023/kartor_geotiff/Blåtjärnen georefererad karta.tif", "Blåtjärnen")</f>
        <v/>
      </c>
      <c r="Y21">
        <f>HYPERLINK("https://klasma.github.io/Logging_FORSKNINGSRESAN_2023/knärot/Blåtjärnen karta knärot.png", "Blåtjärnen")</f>
        <v/>
      </c>
      <c r="Z21">
        <f>HYPERLINK("https://klasma.github.io/Logging_FORSKNINGSRESAN_2023/klagomål/Blåtjärnen FSC-klagomål.docx", "Blåtjärnen")</f>
        <v/>
      </c>
      <c r="AA21">
        <f>HYPERLINK("https://klasma.github.io/Logging_FORSKNINGSRESAN_2023/klagomålsmail/Blåtjärnen FSC-klagomål mail.docx", "Blåtjärnen")</f>
        <v/>
      </c>
      <c r="AB21">
        <f>HYPERLINK("https://klasma.github.io/Logging_FORSKNINGSRESAN_2023/tillsyn/Blåtjärnen tillsynsbegäran.docx", "Blåtjärnen")</f>
        <v/>
      </c>
      <c r="AC21">
        <f>HYPERLINK("https://klasma.github.io/Logging_FORSKNINGSRESAN_2023/tillsynsmail/Blåtjärnen tillsynsbegäran mail.docx", "Blåtjärnen")</f>
        <v/>
      </c>
      <c r="AD21">
        <f>HYPERLINK("https://klasma.github.io/Logging_FORSKNINGSRESAN_2023/fåglar/Blåtjärnen prioriterade fågelarter.docx", "Blåtjärnen")</f>
        <v/>
      </c>
      <c r="AE21" t="inlineStr">
        <is>
          <t>SCA</t>
        </is>
      </c>
      <c r="AF21" t="inlineStr">
        <is>
          <t>Nej</t>
        </is>
      </c>
      <c r="AG21" t="n">
        <v/>
      </c>
      <c r="AH21" t="inlineStr">
        <is>
          <t>Ser ut som fin stava</t>
        </is>
      </c>
      <c r="AI21" t="inlineStr">
        <is>
          <t>Låg</t>
        </is>
      </c>
      <c r="AJ21" t="inlineStr">
        <is>
          <t>Ja</t>
        </is>
      </c>
      <c r="AK21" t="n">
        <v>1</v>
      </c>
      <c r="AL21" t="n">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X22">
        <f>HYPERLINK("https://klasma.github.io/Logging_FORSKNINGSRESAN_2023/kartor_geotiff/Sjättnäsbäcken SCA georefererad karta.tif", "Sjättnäsbäcken SCA")</f>
        <v/>
      </c>
      <c r="Z22">
        <f>HYPERLINK("https://klasma.github.io/Logging_FORSKNINGSRESAN_2023/klagomål/Sjättnäsbäcken SCA FSC-klagomål.docx", "Sjättnäsbäcken SCA")</f>
        <v/>
      </c>
      <c r="AA22">
        <f>HYPERLINK("https://klasma.github.io/Logging_FORSKNINGSRESAN_2023/klagomålsmail/Sjättnäsbäcken SCA FSC-klagomål mail.docx", "Sjättnäsbäcken SCA")</f>
        <v/>
      </c>
      <c r="AB22">
        <f>HYPERLINK("https://klasma.github.io/Logging_FORSKNINGSRESAN_2023/tillsyn/Sjättnäsbäcken SCA tillsynsbegäran.docx", "Sjättnäsbäcken SCA")</f>
        <v/>
      </c>
      <c r="AC22">
        <f>HYPERLINK("https://klasma.github.io/Logging_FORSKNINGSRESAN_2023/tillsynsmail/Sjättnäsbäcken SCA tillsynsbegäran mail.docx", "Sjättnäsbäcken SCA")</f>
        <v/>
      </c>
      <c r="AE22" t="inlineStr">
        <is>
          <t>SCA</t>
        </is>
      </c>
      <c r="AF22" t="inlineStr">
        <is>
          <t>Nej</t>
        </is>
      </c>
      <c r="AG22" t="n">
        <v/>
      </c>
      <c r="AH22" t="inlineStr">
        <is>
          <t>Tycker det ser bra ut! Nära</t>
        </is>
      </c>
      <c r="AI22" t="inlineStr">
        <is>
          <t>Låg</t>
        </is>
      </c>
      <c r="AJ22" t="inlineStr">
        <is>
          <t>Ja</t>
        </is>
      </c>
      <c r="AK22" t="n">
        <v>1</v>
      </c>
      <c r="AL22" t="inlineStr">
        <is>
          <t>Halvbra, V3. Lövrik granskog.</t>
        </is>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HYPERLINK("https://klasma.github.io/Logging_FORSKNINGSRESAN_2023/kartor_geotiff/Rammsjöberget V Sveaskog georefererad karta.tif", "Rammsjöberget V Sveaskog")</f>
        <v/>
      </c>
      <c r="Y23">
        <f>HYPERLINK("https://klasma.github.io/Logging_FORSKNINGSRESAN_2023/knärot/Rammsjöberget V Sveaskog karta knärot.png", "Rammsjöberget V Sveaskog")</f>
        <v/>
      </c>
      <c r="Z23">
        <f>HYPERLINK("https://klasma.github.io/Logging_FORSKNINGSRESAN_2023/klagomål/Rammsjöberget V Sveaskog FSC-klagomål.docx", "Rammsjöberget V Sveaskog")</f>
        <v/>
      </c>
      <c r="AA23">
        <f>HYPERLINK("https://klasma.github.io/Logging_FORSKNINGSRESAN_2023/klagomålsmail/Rammsjöberget V Sveaskog FSC-klagomål mail.docx", "Rammsjöberget V Sveaskog")</f>
        <v/>
      </c>
      <c r="AB23">
        <f>HYPERLINK("https://klasma.github.io/Logging_FORSKNINGSRESAN_2023/tillsyn/Rammsjöberget V Sveaskog tillsynsbegäran.docx", "Rammsjöberget V Sveaskog")</f>
        <v/>
      </c>
      <c r="AC23">
        <f>HYPERLINK("https://klasma.github.io/Logging_FORSKNINGSRESAN_2023/tillsynsmail/Rammsjöberget V Sveaskog tillsynsbegäran mail.docx", "Rammsjöberget V Sveaskog")</f>
        <v/>
      </c>
      <c r="AE23" t="inlineStr">
        <is>
          <t>Sveaskog, Holmen</t>
        </is>
      </c>
      <c r="AF23" t="inlineStr">
        <is>
          <t>Två avv-anm</t>
        </is>
      </c>
      <c r="AG23" t="n">
        <v/>
      </c>
      <c r="AH23" t="inlineStr">
        <is>
          <t>Ser inte jättebra ut, men ändå intressant bergssluttning</t>
        </is>
      </c>
      <c r="AI23" t="inlineStr">
        <is>
          <t>Hårt påverkat</t>
        </is>
      </c>
      <c r="AJ23" t="inlineStr">
        <is>
          <t>Ja</t>
        </is>
      </c>
      <c r="AK23" t="n">
        <v>1</v>
      </c>
      <c r="AL23" t="inlineStr">
        <is>
          <t>Klockren NB i O. Reka nedan berget.</t>
        </is>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c r="AE24" t="inlineStr">
        <is>
          <t>SCA</t>
        </is>
      </c>
      <c r="AF24" t="inlineStr">
        <is>
          <t>Nej</t>
        </is>
      </c>
      <c r="AG24" t="inlineStr">
        <is>
          <t>Stor del av omr avsatt</t>
        </is>
      </c>
      <c r="AH24" t="inlineStr">
        <is>
          <t>Delvis gallrat</t>
        </is>
      </c>
      <c r="AI24" t="inlineStr">
        <is>
          <t>Hög</t>
        </is>
      </c>
      <c r="AJ24" t="inlineStr">
        <is>
          <t>Ja</t>
        </is>
      </c>
      <c r="AK24" t="n">
        <v>1</v>
      </c>
      <c r="AL24" t="inlineStr">
        <is>
          <t>Sinnessjukt fint
Urskogsartad stavatall blandat med gallrad stava. Skandal.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2026-07-19T20:49:28Z</dcterms:created>
  <dcterms:modified xmlns:dcterms="http://purl.org/dc/terms/" xmlns:xsi="http://www.w3.org/2001/XMLSchema-instance" xsi:type="dcterms:W3CDTF">2026-07-19T20:49:29Z</dcterms:modified>
</cp:coreProperties>
</file>