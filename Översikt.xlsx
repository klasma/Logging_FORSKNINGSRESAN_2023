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46216</v>
      </c>
      <c r="E2" s="1" t="n">
        <v>46216</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46216</v>
      </c>
      <c r="E3" s="1" t="n">
        <v>46216</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46216</v>
      </c>
      <c r="E4" s="1" t="n">
        <v>46216</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46216</v>
      </c>
      <c r="E5" s="1" t="n">
        <v>46216</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46216</v>
      </c>
      <c r="E6" s="1" t="n">
        <v>46216</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46216</v>
      </c>
      <c r="E7" s="1" t="n">
        <v>46216</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46216</v>
      </c>
      <c r="E8" s="1" t="n">
        <v>46216</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Juånäset</t>
        </is>
      </c>
      <c r="B9" t="inlineStr">
        <is>
          <t>avverkningsanmälan</t>
        </is>
      </c>
      <c r="D9" s="1" t="n">
        <v>46216</v>
      </c>
      <c r="E9" s="1" t="n">
        <v>46216</v>
      </c>
      <c r="F9" t="inlineStr">
        <is>
          <t>Jämtlands län</t>
        </is>
      </c>
      <c r="G9" t="inlineStr">
        <is>
          <t>Berg</t>
        </is>
      </c>
      <c r="I9" t="n">
        <v>94.90000000000001</v>
      </c>
      <c r="J9" t="n">
        <v>15</v>
      </c>
      <c r="K9" t="n">
        <v>7</v>
      </c>
      <c r="L9" t="n">
        <v>15</v>
      </c>
      <c r="M9" t="n">
        <v>2</v>
      </c>
      <c r="N9" t="n">
        <v>1</v>
      </c>
      <c r="O9" t="n">
        <v>0</v>
      </c>
      <c r="P9" t="n">
        <v>0</v>
      </c>
      <c r="Q9" t="n">
        <v>18</v>
      </c>
      <c r="R9" t="n">
        <v>3</v>
      </c>
      <c r="S9" t="n">
        <v>34</v>
      </c>
      <c r="T9" t="n">
        <v>109</v>
      </c>
      <c r="U9"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9">
        <f>HYPERLINK("https://klasma.github.io/Logging_FORSKNINGSRESAN_2023/artfynd/Juånäset artfynd.xlsx", "Juånäset")</f>
        <v/>
      </c>
      <c r="W9">
        <f>HYPERLINK("https://klasma.github.io/Logging_FORSKNINGSRESAN_2023/kartor/Juånäset karta.png", "Juånäset")</f>
        <v/>
      </c>
      <c r="X9">
        <f>HYPERLINK("https://klasma.github.io/Logging_FORSKNINGSRESAN_2023/knärot/Juånäset karta knärot.png", "Juånäset")</f>
        <v/>
      </c>
      <c r="Y9">
        <f>HYPERLINK("https://klasma.github.io/Logging_FORSKNINGSRESAN_2023/klagomål/Juånäset FSC-klagomål.docx", "Juånäset")</f>
        <v/>
      </c>
      <c r="Z9">
        <f>HYPERLINK("https://klasma.github.io/Logging_FORSKNINGSRESAN_2023/klagomålsmail/Juånäset FSC-klagomål mail.docx", "Juånäset")</f>
        <v/>
      </c>
      <c r="AA9">
        <f>HYPERLINK("https://klasma.github.io/Logging_FORSKNINGSRESAN_2023/tillsyn/Juånäset tillsynsbegäran.docx", "Juånäset")</f>
        <v/>
      </c>
      <c r="AB9">
        <f>HYPERLINK("https://klasma.github.io/Logging_FORSKNINGSRESAN_2023/tillsynsmail/Juånäset tillsynsbegäran mail.docx", "Juånäset")</f>
        <v/>
      </c>
      <c r="AC9">
        <f>HYPERLINK("https://klasma.github.io/Logging_FORSKNINGSRESAN_2023/fåglar/Juånäset prioriterade fågelarter.docx", "Juånäset")</f>
        <v/>
      </c>
    </row>
    <row r="10" ht="15" customHeight="1">
      <c r="A10" t="inlineStr">
        <is>
          <t>Fröbäckstjärnarna</t>
        </is>
      </c>
      <c r="B10" t="inlineStr">
        <is>
          <t>avverkningsanmälan</t>
        </is>
      </c>
      <c r="D10" s="1" t="n">
        <v>46216</v>
      </c>
      <c r="E10" s="1" t="n">
        <v>46216</v>
      </c>
      <c r="F10" t="inlineStr">
        <is>
          <t>Jämtlands län</t>
        </is>
      </c>
      <c r="G10" t="inlineStr">
        <is>
          <t>Berg</t>
        </is>
      </c>
      <c r="I10" t="n">
        <v>751.8</v>
      </c>
      <c r="J10" t="n">
        <v>7</v>
      </c>
      <c r="K10" t="n">
        <v>4</v>
      </c>
      <c r="L10" t="n">
        <v>20</v>
      </c>
      <c r="M10" t="n">
        <v>5</v>
      </c>
      <c r="N10" t="n">
        <v>1</v>
      </c>
      <c r="O10" t="n">
        <v>0</v>
      </c>
      <c r="P10" t="n">
        <v>0</v>
      </c>
      <c r="Q10" t="n">
        <v>26</v>
      </c>
      <c r="R10" t="n">
        <v>6</v>
      </c>
      <c r="S10" t="n">
        <v>34</v>
      </c>
      <c r="T10" t="n">
        <v>240</v>
      </c>
      <c r="U10"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0">
        <f>HYPERLINK("https://klasma.github.io/Logging_FORSKNINGSRESAN_2023/artfynd/Fröbäckstjärnarna artfynd.xlsx", "Fröbäckstjärnarna")</f>
        <v/>
      </c>
      <c r="W10">
        <f>HYPERLINK("https://klasma.github.io/Logging_FORSKNINGSRESAN_2023/kartor/Fröbäckstjärnarna karta.png", "Fröbäckstjärnarna")</f>
        <v/>
      </c>
      <c r="X10">
        <f>HYPERLINK("https://klasma.github.io/Logging_FORSKNINGSRESAN_2023/knärot/Fröbäckstjärnarna karta knärot.png", "Fröbäckstjärnarna")</f>
        <v/>
      </c>
      <c r="Y10">
        <f>HYPERLINK("https://klasma.github.io/Logging_FORSKNINGSRESAN_2023/klagomål/Fröbäckstjärnarna FSC-klagomål.docx", "Fröbäckstjärnarna")</f>
        <v/>
      </c>
      <c r="Z10">
        <f>HYPERLINK("https://klasma.github.io/Logging_FORSKNINGSRESAN_2023/klagomålsmail/Fröbäckstjärnarna FSC-klagomål mail.docx", "Fröbäckstjärnarna")</f>
        <v/>
      </c>
      <c r="AA10">
        <f>HYPERLINK("https://klasma.github.io/Logging_FORSKNINGSRESAN_2023/tillsyn/Fröbäckstjärnarna tillsynsbegäran.docx", "Fröbäckstjärnarna")</f>
        <v/>
      </c>
      <c r="AB10">
        <f>HYPERLINK("https://klasma.github.io/Logging_FORSKNINGSRESAN_2023/tillsynsmail/Fröbäckstjärnarna tillsynsbegäran mail.docx", "Fröbäckstjärnarna")</f>
        <v/>
      </c>
      <c r="AC10">
        <f>HYPERLINK("https://klasma.github.io/Logging_FORSKNINGSRESAN_2023/fåglar/Fröbäckstjärnarna prioriterade fågelarter.docx", "Fröbäckstjärnarna")</f>
        <v/>
      </c>
    </row>
    <row r="11" ht="15" customHeight="1">
      <c r="A11" t="inlineStr">
        <is>
          <t>Floarna</t>
        </is>
      </c>
      <c r="B11" t="inlineStr">
        <is>
          <t>avverkningsanmälan</t>
        </is>
      </c>
      <c r="D11" s="1" t="n">
        <v>46216</v>
      </c>
      <c r="E11" s="1" t="n">
        <v>46216</v>
      </c>
      <c r="F11" t="inlineStr">
        <is>
          <t>Jämtlands län</t>
        </is>
      </c>
      <c r="G11" t="inlineStr">
        <is>
          <t>Berg</t>
        </is>
      </c>
      <c r="I11" t="n">
        <v>724.7</v>
      </c>
      <c r="J11" t="n">
        <v>5</v>
      </c>
      <c r="K11" t="n">
        <v>1</v>
      </c>
      <c r="L11" t="n">
        <v>17</v>
      </c>
      <c r="M11" t="n">
        <v>7</v>
      </c>
      <c r="N11" t="n">
        <v>1</v>
      </c>
      <c r="O11" t="n">
        <v>0</v>
      </c>
      <c r="P11" t="n">
        <v>0</v>
      </c>
      <c r="Q11" t="n">
        <v>25</v>
      </c>
      <c r="R11" t="n">
        <v>8</v>
      </c>
      <c r="S11" t="n">
        <v>29</v>
      </c>
      <c r="T11" t="n">
        <v>99</v>
      </c>
      <c r="U11" s="2" t="inlineStr">
        <is>
          <t>Urskogsporing
Doftticka
Fläckporing
Garnlav
Gräddporing
Knärot
Rotfingersvamp
Skrovlig taggsvamp
Doftskinn
Dropptaggsvamp
Dvärgbägarlav
Kortskaftad ärgspik
Lunglav
Mörk kolflarnlav
Nordtagging
Orange taggsvamp
Reliktbock
Rynkskinn
Stiftgelélav
Tallticka
Vaddporing
Vedflamlav
Vedtrappmossa
Vitplätt
Äggvaxskivling
Trådticka
Järpe
Smålom
Utter</t>
        </is>
      </c>
      <c r="V11">
        <f>HYPERLINK("https://klasma.github.io/Logging_FORSKNINGSRESAN_2023/artfynd/Floarna artfynd.xlsx", "Floarna")</f>
        <v/>
      </c>
      <c r="W11">
        <f>HYPERLINK("https://klasma.github.io/Logging_FORSKNINGSRESAN_2023/kartor/Floarna karta.png", "Floarna")</f>
        <v/>
      </c>
      <c r="X11">
        <f>HYPERLINK("https://klasma.github.io/Logging_FORSKNINGSRESAN_2023/knärot/Floarna karta knärot.png", "Floarna")</f>
        <v/>
      </c>
      <c r="Y11">
        <f>HYPERLINK("https://klasma.github.io/Logging_FORSKNINGSRESAN_2023/klagomål/Floarna FSC-klagomål.docx", "Floarna")</f>
        <v/>
      </c>
      <c r="Z11">
        <f>HYPERLINK("https://klasma.github.io/Logging_FORSKNINGSRESAN_2023/klagomålsmail/Floarna FSC-klagomål mail.docx", "Floarna")</f>
        <v/>
      </c>
      <c r="AA11">
        <f>HYPERLINK("https://klasma.github.io/Logging_FORSKNINGSRESAN_2023/tillsyn/Floarna tillsynsbegäran.docx", "Floarna")</f>
        <v/>
      </c>
      <c r="AB11">
        <f>HYPERLINK("https://klasma.github.io/Logging_FORSKNINGSRESAN_2023/tillsynsmail/Floarna tillsynsbegäran mail.docx", "Floarna")</f>
        <v/>
      </c>
      <c r="AC11">
        <f>HYPERLINK("https://klasma.github.io/Logging_FORSKNINGSRESAN_2023/fåglar/Floarna prioriterade fågelarter.docx", "Floarna")</f>
        <v/>
      </c>
    </row>
    <row r="12" ht="15" customHeight="1">
      <c r="A12" t="inlineStr">
        <is>
          <t>Holmnäset</t>
        </is>
      </c>
      <c r="B12" t="inlineStr">
        <is>
          <t>avverkningsanmälan</t>
        </is>
      </c>
      <c r="D12" s="1" t="n">
        <v>46216</v>
      </c>
      <c r="E12" s="1" t="n">
        <v>46216</v>
      </c>
      <c r="F12" t="inlineStr">
        <is>
          <t>Jämtlands län</t>
        </is>
      </c>
      <c r="G12" t="inlineStr">
        <is>
          <t>Berg</t>
        </is>
      </c>
      <c r="I12" t="n">
        <v>163.9</v>
      </c>
      <c r="J12" t="n">
        <v>1</v>
      </c>
      <c r="K12" t="n">
        <v>5</v>
      </c>
      <c r="L12" t="n">
        <v>15</v>
      </c>
      <c r="M12" t="n">
        <v>4</v>
      </c>
      <c r="N12" t="n">
        <v>1</v>
      </c>
      <c r="O12" t="n">
        <v>0</v>
      </c>
      <c r="P12" t="n">
        <v>0</v>
      </c>
      <c r="Q12" t="n">
        <v>20</v>
      </c>
      <c r="R12" t="n">
        <v>5</v>
      </c>
      <c r="S12" t="n">
        <v>25</v>
      </c>
      <c r="T12" t="n">
        <v>141</v>
      </c>
      <c r="U12"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2">
        <f>HYPERLINK("https://klasma.github.io/Logging_FORSKNINGSRESAN_2023/artfynd/Holmnäset artfynd.xlsx", "Holmnäset")</f>
        <v/>
      </c>
      <c r="W12">
        <f>HYPERLINK("https://klasma.github.io/Logging_FORSKNINGSRESAN_2023/kartor/Holmnäset karta.png", "Holmnäset")</f>
        <v/>
      </c>
      <c r="X12">
        <f>HYPERLINK("https://klasma.github.io/Logging_FORSKNINGSRESAN_2023/knärot/Holmnäset karta knärot.png", "Holmnäset")</f>
        <v/>
      </c>
      <c r="Y12">
        <f>HYPERLINK("https://klasma.github.io/Logging_FORSKNINGSRESAN_2023/klagomål/Holmnäset FSC-klagomål.docx", "Holmnäset")</f>
        <v/>
      </c>
      <c r="Z12">
        <f>HYPERLINK("https://klasma.github.io/Logging_FORSKNINGSRESAN_2023/klagomålsmail/Holmnäset FSC-klagomål mail.docx", "Holmnäset")</f>
        <v/>
      </c>
      <c r="AA12">
        <f>HYPERLINK("https://klasma.github.io/Logging_FORSKNINGSRESAN_2023/tillsyn/Holmnäset tillsynsbegäran.docx", "Holmnäset")</f>
        <v/>
      </c>
      <c r="AB12">
        <f>HYPERLINK("https://klasma.github.io/Logging_FORSKNINGSRESAN_2023/tillsynsmail/Holmnäset tillsynsbegäran mail.docx", "Holmnäset")</f>
        <v/>
      </c>
    </row>
    <row r="13" ht="15" customHeight="1">
      <c r="A13" t="inlineStr">
        <is>
          <t>Staverberget SCA</t>
        </is>
      </c>
      <c r="B13" t="inlineStr">
        <is>
          <t>avverkningsanmälan</t>
        </is>
      </c>
      <c r="D13" s="1" t="n">
        <v>46216</v>
      </c>
      <c r="E13" s="1" t="n">
        <v>46216</v>
      </c>
      <c r="F13" t="inlineStr">
        <is>
          <t>Jämtlands län</t>
        </is>
      </c>
      <c r="G13" t="inlineStr">
        <is>
          <t>Berg</t>
        </is>
      </c>
      <c r="I13" t="n">
        <v>115.3</v>
      </c>
      <c r="J13" t="n">
        <v>7</v>
      </c>
      <c r="K13" t="n">
        <v>3</v>
      </c>
      <c r="L13" t="n">
        <v>13</v>
      </c>
      <c r="M13" t="n">
        <v>4</v>
      </c>
      <c r="N13" t="n">
        <v>0</v>
      </c>
      <c r="O13" t="n">
        <v>0</v>
      </c>
      <c r="P13" t="n">
        <v>0</v>
      </c>
      <c r="Q13" t="n">
        <v>17</v>
      </c>
      <c r="R13" t="n">
        <v>4</v>
      </c>
      <c r="S13" t="n">
        <v>23</v>
      </c>
      <c r="T13" t="n">
        <v>82</v>
      </c>
      <c r="U13"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3">
        <f>HYPERLINK("https://klasma.github.io/Logging_FORSKNINGSRESAN_2023/artfynd/Staverberget SCA artfynd.xlsx", "Staverberget SCA")</f>
        <v/>
      </c>
      <c r="W13">
        <f>HYPERLINK("https://klasma.github.io/Logging_FORSKNINGSRESAN_2023/kartor/Staverberget SCA karta.png", "Staverberget SCA")</f>
        <v/>
      </c>
      <c r="X13">
        <f>HYPERLINK("https://klasma.github.io/Logging_FORSKNINGSRESAN_2023/knärot/Staverberget SCA karta knärot.png", "Staverberget SCA")</f>
        <v/>
      </c>
      <c r="Y13">
        <f>HYPERLINK("https://klasma.github.io/Logging_FORSKNINGSRESAN_2023/klagomål/Staverberget SCA FSC-klagomål.docx", "Staverberget SCA")</f>
        <v/>
      </c>
      <c r="Z13">
        <f>HYPERLINK("https://klasma.github.io/Logging_FORSKNINGSRESAN_2023/klagomålsmail/Staverberget SCA FSC-klagomål mail.docx", "Staverberget SCA")</f>
        <v/>
      </c>
      <c r="AA13">
        <f>HYPERLINK("https://klasma.github.io/Logging_FORSKNINGSRESAN_2023/tillsyn/Staverberget SCA tillsynsbegäran.docx", "Staverberget SCA")</f>
        <v/>
      </c>
      <c r="AB13">
        <f>HYPERLINK("https://klasma.github.io/Logging_FORSKNINGSRESAN_2023/tillsynsmail/Staverberget SCA tillsynsbegäran mail.docx", "Staverberget SCA")</f>
        <v/>
      </c>
      <c r="AC13">
        <f>HYPERLINK("https://klasma.github.io/Logging_FORSKNINGSRESAN_2023/fåglar/Staverberget SCA prioriterade fågelarter.docx", "Staverberget SCA")</f>
        <v/>
      </c>
    </row>
    <row r="14" ht="15" customHeight="1">
      <c r="A14" t="inlineStr">
        <is>
          <t>Björnbäcken</t>
        </is>
      </c>
      <c r="B14" t="inlineStr">
        <is>
          <t>avverkningsanmälan</t>
        </is>
      </c>
      <c r="D14" s="1" t="n">
        <v>46216</v>
      </c>
      <c r="E14" s="1" t="n">
        <v>46216</v>
      </c>
      <c r="F14" t="inlineStr">
        <is>
          <t>Jämtlands län</t>
        </is>
      </c>
      <c r="G14" t="inlineStr">
        <is>
          <t>Berg</t>
        </is>
      </c>
      <c r="I14" t="n">
        <v>61.4</v>
      </c>
      <c r="J14" t="n">
        <v>5</v>
      </c>
      <c r="K14" t="n">
        <v>5</v>
      </c>
      <c r="L14" t="n">
        <v>12</v>
      </c>
      <c r="M14" t="n">
        <v>3</v>
      </c>
      <c r="N14" t="n">
        <v>0</v>
      </c>
      <c r="O14" t="n">
        <v>0</v>
      </c>
      <c r="P14" t="n">
        <v>0</v>
      </c>
      <c r="Q14" t="n">
        <v>15</v>
      </c>
      <c r="R14" t="n">
        <v>3</v>
      </c>
      <c r="S14" t="n">
        <v>23</v>
      </c>
      <c r="T14" t="n">
        <v>74</v>
      </c>
      <c r="U14"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4">
        <f>HYPERLINK("https://klasma.github.io/Logging_FORSKNINGSRESAN_2023/artfynd/Björnbäcken artfynd.xlsx", "Björnbäcken")</f>
        <v/>
      </c>
      <c r="W14">
        <f>HYPERLINK("https://klasma.github.io/Logging_FORSKNINGSRESAN_2023/kartor/Björnbäcken karta.png", "Björnbäcken")</f>
        <v/>
      </c>
      <c r="X14">
        <f>HYPERLINK("https://klasma.github.io/Logging_FORSKNINGSRESAN_2023/knärot/Björnbäcken karta knärot.png", "Björnbäcken")</f>
        <v/>
      </c>
      <c r="Y14">
        <f>HYPERLINK("https://klasma.github.io/Logging_FORSKNINGSRESAN_2023/klagomål/Björnbäcken FSC-klagomål.docx", "Björnbäcken")</f>
        <v/>
      </c>
      <c r="Z14">
        <f>HYPERLINK("https://klasma.github.io/Logging_FORSKNINGSRESAN_2023/klagomålsmail/Björnbäcken FSC-klagomål mail.docx", "Björnbäcken")</f>
        <v/>
      </c>
      <c r="AA14">
        <f>HYPERLINK("https://klasma.github.io/Logging_FORSKNINGSRESAN_2023/tillsyn/Björnbäcken tillsynsbegäran.docx", "Björnbäcken")</f>
        <v/>
      </c>
      <c r="AB14">
        <f>HYPERLINK("https://klasma.github.io/Logging_FORSKNINGSRESAN_2023/tillsynsmail/Björnbäcken tillsynsbegäran mail.docx", "Björnbäcken")</f>
        <v/>
      </c>
      <c r="AC14">
        <f>HYPERLINK("https://klasma.github.io/Logging_FORSKNINGSRESAN_2023/fåglar/Björnbäcken prioriterade fågelarter.docx", "Björnbäcken")</f>
        <v/>
      </c>
    </row>
    <row r="15" ht="15" customHeight="1">
      <c r="A15" t="inlineStr">
        <is>
          <t>Kilkojan</t>
        </is>
      </c>
      <c r="B15" t="inlineStr">
        <is>
          <t>avverkningsanmälan</t>
        </is>
      </c>
      <c r="D15" s="1" t="n">
        <v>46216</v>
      </c>
      <c r="E15" s="1" t="n">
        <v>46216</v>
      </c>
      <c r="F15" t="inlineStr">
        <is>
          <t>Jämtlands län</t>
        </is>
      </c>
      <c r="G15" t="inlineStr">
        <is>
          <t>Berg</t>
        </is>
      </c>
      <c r="I15" t="n">
        <v>162.6</v>
      </c>
      <c r="J15" t="n">
        <v>2</v>
      </c>
      <c r="K15" t="n">
        <v>0</v>
      </c>
      <c r="L15" t="n">
        <v>15</v>
      </c>
      <c r="M15" t="n">
        <v>4</v>
      </c>
      <c r="N15" t="n">
        <v>0</v>
      </c>
      <c r="O15" t="n">
        <v>0</v>
      </c>
      <c r="P15" t="n">
        <v>0</v>
      </c>
      <c r="Q15" t="n">
        <v>19</v>
      </c>
      <c r="R15" t="n">
        <v>4</v>
      </c>
      <c r="S15" t="n">
        <v>19</v>
      </c>
      <c r="T15" t="n">
        <v>56</v>
      </c>
      <c r="U15"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5">
        <f>HYPERLINK("https://klasma.github.io/Logging_FORSKNINGSRESAN_2023/artfynd/Kilkojan artfynd.xlsx", "Kilkojan")</f>
        <v/>
      </c>
      <c r="W15">
        <f>HYPERLINK("https://klasma.github.io/Logging_FORSKNINGSRESAN_2023/kartor/Kilkojan karta.png", "Kilkojan")</f>
        <v/>
      </c>
      <c r="Y15">
        <f>HYPERLINK("https://klasma.github.io/Logging_FORSKNINGSRESAN_2023/klagomål/Kilkojan FSC-klagomål.docx", "Kilkojan")</f>
        <v/>
      </c>
      <c r="Z15">
        <f>HYPERLINK("https://klasma.github.io/Logging_FORSKNINGSRESAN_2023/klagomålsmail/Kilkojan FSC-klagomål mail.docx", "Kilkojan")</f>
        <v/>
      </c>
      <c r="AA15">
        <f>HYPERLINK("https://klasma.github.io/Logging_FORSKNINGSRESAN_2023/tillsyn/Kilkojan tillsynsbegäran.docx", "Kilkojan")</f>
        <v/>
      </c>
      <c r="AB15">
        <f>HYPERLINK("https://klasma.github.io/Logging_FORSKNINGSRESAN_2023/tillsynsmail/Kilkojan tillsynsbegäran mail.docx", "Kilkojan")</f>
        <v/>
      </c>
      <c r="AC15">
        <f>HYPERLINK("https://klasma.github.io/Logging_FORSKNINGSRESAN_2023/fåglar/Kilkojan prioriterade fågelarter.docx", "Kilkojan")</f>
        <v/>
      </c>
    </row>
    <row r="16" ht="15" customHeight="1">
      <c r="A16" t="inlineStr">
        <is>
          <t>Börsåsen N</t>
        </is>
      </c>
      <c r="B16" t="inlineStr">
        <is>
          <t>avverkningsanmälan</t>
        </is>
      </c>
      <c r="D16" s="1" t="n">
        <v>46216</v>
      </c>
      <c r="E16" s="1" t="n">
        <v>46216</v>
      </c>
      <c r="F16" t="inlineStr">
        <is>
          <t>Jämtlands län</t>
        </is>
      </c>
      <c r="G16" t="inlineStr">
        <is>
          <t>Berg</t>
        </is>
      </c>
      <c r="I16" t="n">
        <v>124.6</v>
      </c>
      <c r="J16" t="n">
        <v>4</v>
      </c>
      <c r="K16" t="n">
        <v>8</v>
      </c>
      <c r="L16" t="n">
        <v>6</v>
      </c>
      <c r="M16" t="n">
        <v>3</v>
      </c>
      <c r="N16" t="n">
        <v>0</v>
      </c>
      <c r="O16" t="n">
        <v>0</v>
      </c>
      <c r="P16" t="n">
        <v>0</v>
      </c>
      <c r="Q16" t="n">
        <v>9</v>
      </c>
      <c r="R16" t="n">
        <v>3</v>
      </c>
      <c r="S16" t="n">
        <v>18</v>
      </c>
      <c r="T16" t="n">
        <v>60</v>
      </c>
      <c r="U16" s="2" t="inlineStr">
        <is>
          <t>Doftticka
Garnlav
Knärot
Lunglav
Mörk kolflarnlav
Rynkskinn
Skrovellav
Ullticka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Kölavallhöjden</t>
        </is>
      </c>
      <c r="B17" t="inlineStr">
        <is>
          <t>avverkningsanmälan</t>
        </is>
      </c>
      <c r="D17" s="1" t="n">
        <v>46216</v>
      </c>
      <c r="E17" s="1" t="n">
        <v>46216</v>
      </c>
      <c r="F17" t="inlineStr">
        <is>
          <t>Jämtlands län</t>
        </is>
      </c>
      <c r="G17" t="inlineStr">
        <is>
          <t>Berg</t>
        </is>
      </c>
      <c r="I17" t="n">
        <v>57.8</v>
      </c>
      <c r="J17" t="n">
        <v>3</v>
      </c>
      <c r="K17" t="n">
        <v>5</v>
      </c>
      <c r="L17" t="n">
        <v>8</v>
      </c>
      <c r="M17" t="n">
        <v>2</v>
      </c>
      <c r="N17" t="n">
        <v>0</v>
      </c>
      <c r="O17" t="n">
        <v>0</v>
      </c>
      <c r="P17" t="n">
        <v>0</v>
      </c>
      <c r="Q17" t="n">
        <v>10</v>
      </c>
      <c r="R17" t="n">
        <v>2</v>
      </c>
      <c r="S17" t="n">
        <v>16</v>
      </c>
      <c r="T17" t="n">
        <v>36</v>
      </c>
      <c r="U17" s="2" t="inlineStr">
        <is>
          <t>Doftticka
Knärot
Doftskinn
Lunglav
Rosenticka
Rynkskinn
Stiftgelélav
Stjärntagging
Ullticka
Vitgrynig nållav
Bårdlav
Korallblylav
Stor aspticka
Stuplav
Vågbandad barkbock
Tjäder</t>
        </is>
      </c>
      <c r="V17">
        <f>HYPERLINK("https://klasma.github.io/Logging_FORSKNINGSRESAN_2023/artfynd/Kölavallhöjden artfynd.xlsx", "Kölavallhöjden")</f>
        <v/>
      </c>
      <c r="W17">
        <f>HYPERLINK("https://klasma.github.io/Logging_FORSKNINGSRESAN_2023/kartor/Kölavallhöjden karta.png", "Kölavallhöjden")</f>
        <v/>
      </c>
      <c r="X17">
        <f>HYPERLINK("https://klasma.github.io/Logging_FORSKNINGSRESAN_2023/knärot/Kölavallhöjden karta knärot.png", "Kölavallhöjden")</f>
        <v/>
      </c>
      <c r="Y17">
        <f>HYPERLINK("https://klasma.github.io/Logging_FORSKNINGSRESAN_2023/klagomål/Kölavallhöjden FSC-klagomål.docx", "Kölavallhöjden")</f>
        <v/>
      </c>
      <c r="Z17">
        <f>HYPERLINK("https://klasma.github.io/Logging_FORSKNINGSRESAN_2023/klagomålsmail/Kölavallhöjden FSC-klagomål mail.docx", "Kölavallhöjden")</f>
        <v/>
      </c>
      <c r="AA17">
        <f>HYPERLINK("https://klasma.github.io/Logging_FORSKNINGSRESAN_2023/tillsyn/Kölavallhöjden tillsynsbegäran.docx", "Kölavallhöjden")</f>
        <v/>
      </c>
      <c r="AB17">
        <f>HYPERLINK("https://klasma.github.io/Logging_FORSKNINGSRESAN_2023/tillsynsmail/Kölavallhöjden tillsynsbegäran mail.docx", "Kölavallhöjden")</f>
        <v/>
      </c>
      <c r="AC17">
        <f>HYPERLINK("https://klasma.github.io/Logging_FORSKNINGSRESAN_2023/fåglar/Kölavallhöjden prioriterade fågelarter.docx", "Kölavallhöjden")</f>
        <v/>
      </c>
    </row>
    <row r="18" ht="15" customHeight="1">
      <c r="A18" t="inlineStr">
        <is>
          <t>Trollkärringberget</t>
        </is>
      </c>
      <c r="B18" t="inlineStr">
        <is>
          <t>avverkningsanmälan</t>
        </is>
      </c>
      <c r="D18" s="1" t="n">
        <v>46216</v>
      </c>
      <c r="E18" s="1" t="n">
        <v>46216</v>
      </c>
      <c r="F18" t="inlineStr">
        <is>
          <t>Jämtlands län</t>
        </is>
      </c>
      <c r="G18" t="inlineStr">
        <is>
          <t>Berg</t>
        </is>
      </c>
      <c r="I18" t="n">
        <v>18.8</v>
      </c>
      <c r="J18" t="n">
        <v>3</v>
      </c>
      <c r="K18" t="n">
        <v>6</v>
      </c>
      <c r="L18" t="n">
        <v>6</v>
      </c>
      <c r="M18" t="n">
        <v>3</v>
      </c>
      <c r="N18" t="n">
        <v>0</v>
      </c>
      <c r="O18" t="n">
        <v>0</v>
      </c>
      <c r="P18" t="n">
        <v>0</v>
      </c>
      <c r="Q18" t="n">
        <v>9</v>
      </c>
      <c r="R18" t="n">
        <v>3</v>
      </c>
      <c r="S18" t="n">
        <v>16</v>
      </c>
      <c r="T18" t="n">
        <v>39</v>
      </c>
      <c r="U18" s="2" t="inlineStr">
        <is>
          <t>Garnlav
Knärot
Vitskaftad svartspik
Doftskinn
Lunglav
Rosenticka
Rynkskinn
Ullticka
Violettgrå tagellav
Bronshjon
Luddlav
Spindelblomster
Stor aspticka
Vedticka
Vågbandad barkbock
Nattviol</t>
        </is>
      </c>
      <c r="V18">
        <f>HYPERLINK("https://klasma.github.io/Logging_FORSKNINGSRESAN_2023/artfynd/Trollkärringberget artfynd.xlsx", "Trollkärringberget")</f>
        <v/>
      </c>
      <c r="W18">
        <f>HYPERLINK("https://klasma.github.io/Logging_FORSKNINGSRESAN_2023/kartor/Trollkärringberget karta.png", "Trollkärringberget")</f>
        <v/>
      </c>
      <c r="X18">
        <f>HYPERLINK("https://klasma.github.io/Logging_FORSKNINGSRESAN_2023/knärot/Trollkärringberget karta knärot.png", "Trollkärringberget")</f>
        <v/>
      </c>
      <c r="Y18">
        <f>HYPERLINK("https://klasma.github.io/Logging_FORSKNINGSRESAN_2023/klagomål/Trollkärringberget FSC-klagomål.docx", "Trollkärringberget")</f>
        <v/>
      </c>
      <c r="Z18">
        <f>HYPERLINK("https://klasma.github.io/Logging_FORSKNINGSRESAN_2023/klagomålsmail/Trollkärringberget FSC-klagomål mail.docx", "Trollkärringberget")</f>
        <v/>
      </c>
      <c r="AA18">
        <f>HYPERLINK("https://klasma.github.io/Logging_FORSKNINGSRESAN_2023/tillsyn/Trollkärringberget tillsynsbegäran.docx", "Trollkärringberget")</f>
        <v/>
      </c>
      <c r="AB18">
        <f>HYPERLINK("https://klasma.github.io/Logging_FORSKNINGSRESAN_2023/tillsynsmail/Trollkärringberget tillsynsbegäran mail.docx", "Trollkärringberget")</f>
        <v/>
      </c>
    </row>
    <row r="19" ht="15" customHeight="1">
      <c r="A19" t="inlineStr">
        <is>
          <t>Nils-Andersknulen N</t>
        </is>
      </c>
      <c r="B19" t="inlineStr">
        <is>
          <t>avverkningsanmälan</t>
        </is>
      </c>
      <c r="D19" s="1" t="n">
        <v>46216</v>
      </c>
      <c r="E19" s="1" t="n">
        <v>46216</v>
      </c>
      <c r="F19" t="inlineStr">
        <is>
          <t>Jämtlands län</t>
        </is>
      </c>
      <c r="G19" t="inlineStr">
        <is>
          <t>Berg</t>
        </is>
      </c>
      <c r="I19" t="n">
        <v>45.3</v>
      </c>
      <c r="J19" t="n">
        <v>1</v>
      </c>
      <c r="K19" t="n">
        <v>3</v>
      </c>
      <c r="L19" t="n">
        <v>6</v>
      </c>
      <c r="M19" t="n">
        <v>2</v>
      </c>
      <c r="N19" t="n">
        <v>0</v>
      </c>
      <c r="O19" t="n">
        <v>0</v>
      </c>
      <c r="P19" t="n">
        <v>0</v>
      </c>
      <c r="Q19" t="n">
        <v>8</v>
      </c>
      <c r="R19" t="n">
        <v>2</v>
      </c>
      <c r="S19" t="n">
        <v>11</v>
      </c>
      <c r="T19" t="n">
        <v>12</v>
      </c>
      <c r="U19" s="2" t="inlineStr">
        <is>
          <t>Blackticka
Gränsticka
Gammelgransskål
Harticka
Lavskrika
Lunglav
Skrovellav
Ullticka
Kambräken
Svavelriska
Vedticka</t>
        </is>
      </c>
      <c r="V19">
        <f>HYPERLINK("https://klasma.github.io/Logging_FORSKNINGSRESAN_2023/artfynd/Nils-Andersknulen N artfynd.xlsx", "Nils-Andersknulen N")</f>
        <v/>
      </c>
      <c r="W19">
        <f>HYPERLINK("https://klasma.github.io/Logging_FORSKNINGSRESAN_2023/kartor/Nils-Andersknulen N karta.png", "Nils-Andersknulen N")</f>
        <v/>
      </c>
      <c r="Y19">
        <f>HYPERLINK("https://klasma.github.io/Logging_FORSKNINGSRESAN_2023/klagomål/Nils-Andersknulen N FSC-klagomål.docx", "Nils-Andersknulen N")</f>
        <v/>
      </c>
      <c r="Z19">
        <f>HYPERLINK("https://klasma.github.io/Logging_FORSKNINGSRESAN_2023/klagomålsmail/Nils-Andersknulen N FSC-klagomål mail.docx", "Nils-Andersknulen N")</f>
        <v/>
      </c>
      <c r="AA19">
        <f>HYPERLINK("https://klasma.github.io/Logging_FORSKNINGSRESAN_2023/tillsyn/Nils-Andersknulen N tillsynsbegäran.docx", "Nils-Andersknulen N")</f>
        <v/>
      </c>
      <c r="AB19">
        <f>HYPERLINK("https://klasma.github.io/Logging_FORSKNINGSRESAN_2023/tillsynsmail/Nils-Andersknulen N tillsynsbegäran mail.docx", "Nils-Andersknulen N")</f>
        <v/>
      </c>
      <c r="AC19">
        <f>HYPERLINK("https://klasma.github.io/Logging_FORSKNINGSRESAN_2023/fåglar/Nils-Andersknulen N prioriterade fågelarter.docx", "Nils-Andersknulen N")</f>
        <v/>
      </c>
    </row>
    <row r="20" ht="15" customHeight="1">
      <c r="A20" t="inlineStr">
        <is>
          <t>Bodsjön</t>
        </is>
      </c>
      <c r="B20" t="inlineStr">
        <is>
          <t>avverkningsanmälan</t>
        </is>
      </c>
      <c r="D20" s="1" t="n">
        <v>46216</v>
      </c>
      <c r="E20" s="1" t="n">
        <v>46216</v>
      </c>
      <c r="F20" t="inlineStr">
        <is>
          <t>Jämtlands län</t>
        </is>
      </c>
      <c r="G20" t="inlineStr">
        <is>
          <t>Berg</t>
        </is>
      </c>
      <c r="I20" t="n">
        <v>49.7</v>
      </c>
      <c r="J20" t="n">
        <v>1</v>
      </c>
      <c r="K20" t="n">
        <v>4</v>
      </c>
      <c r="L20" t="n">
        <v>5</v>
      </c>
      <c r="M20" t="n">
        <v>1</v>
      </c>
      <c r="N20" t="n">
        <v>0</v>
      </c>
      <c r="O20" t="n">
        <v>0</v>
      </c>
      <c r="P20" t="n">
        <v>0</v>
      </c>
      <c r="Q20" t="n">
        <v>6</v>
      </c>
      <c r="R20" t="n">
        <v>1</v>
      </c>
      <c r="S20" t="n">
        <v>10</v>
      </c>
      <c r="T20" t="n">
        <v>15</v>
      </c>
      <c r="U20" s="2" t="inlineStr">
        <is>
          <t>Knärot
Gammelgransskål
Lunglav
Skrovellav
Stiftgelélav
Vitgrynig nållav
Bollvitmossa
Korallblylav
Luddlav
Stuplav</t>
        </is>
      </c>
      <c r="V20">
        <f>HYPERLINK("https://klasma.github.io/Logging_FORSKNINGSRESAN_2023/artfynd/Bodsjön artfynd.xlsx", "Bodsjön")</f>
        <v/>
      </c>
      <c r="W20">
        <f>HYPERLINK("https://klasma.github.io/Logging_FORSKNINGSRESAN_2023/kartor/Bodsjön karta.png", "Bodsjön")</f>
        <v/>
      </c>
      <c r="X20">
        <f>HYPERLINK("https://klasma.github.io/Logging_FORSKNINGSRESAN_2023/knärot/Bodsjön karta knärot.png", "Bodsjön")</f>
        <v/>
      </c>
      <c r="Y20">
        <f>HYPERLINK("https://klasma.github.io/Logging_FORSKNINGSRESAN_2023/klagomål/Bodsjön FSC-klagomål.docx", "Bodsjön")</f>
        <v/>
      </c>
      <c r="Z20">
        <f>HYPERLINK("https://klasma.github.io/Logging_FORSKNINGSRESAN_2023/klagomålsmail/Bodsjön FSC-klagomål mail.docx", "Bodsjön")</f>
        <v/>
      </c>
      <c r="AA20">
        <f>HYPERLINK("https://klasma.github.io/Logging_FORSKNINGSRESAN_2023/tillsyn/Bodsjön tillsynsbegäran.docx", "Bodsjön")</f>
        <v/>
      </c>
      <c r="AB20">
        <f>HYPERLINK("https://klasma.github.io/Logging_FORSKNINGSRESAN_2023/tillsynsmail/Bodsjön tillsynsbegäran mail.docx", "Bodsjön")</f>
        <v/>
      </c>
    </row>
    <row r="21" ht="15" customHeight="1">
      <c r="A21" t="inlineStr">
        <is>
          <t>Blåtjärnen</t>
        </is>
      </c>
      <c r="B21" t="inlineStr">
        <is>
          <t>avverkningsanmälan</t>
        </is>
      </c>
      <c r="D21" s="1" t="n">
        <v>46216</v>
      </c>
      <c r="E21" s="1" t="n">
        <v>46216</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46216</v>
      </c>
      <c r="E22" s="1" t="n">
        <v>46216</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46216</v>
      </c>
      <c r="E23" s="1" t="n">
        <v>46216</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46216</v>
      </c>
      <c r="E24" s="1" t="n">
        <v>46216</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2026-07-13T07:36:35Z</dcterms:created>
  <dcterms:modified xmlns:dcterms="http://purl.org/dc/terms/" xmlns:xsi="http://www.w3.org/2001/XMLSchema-instance" xsi:type="dcterms:W3CDTF">2026-07-13T07:36:35Z</dcterms:modified>
</cp:coreProperties>
</file>